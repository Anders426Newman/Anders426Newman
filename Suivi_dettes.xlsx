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biteurs" sheetId="1" state="visible" r:id="rId1"/>
    <sheet name="Résumé" sheetId="2" state="visible" r:id="rId2"/>
  </sheets>
  <definedNames>
    <definedName name="_xlnm._FilterDatabase" localSheetId="0" hidden="1">'Débiteurs'!$A$4:$K$104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00 €;-#,##0.00 €;&quot;-&quot;"/>
    <numFmt numFmtId="166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595959"/>
      <sz val="9"/>
    </font>
    <font>
      <name val="Arial"/>
      <b val="1"/>
      <color rgb="00FFFFFF"/>
    </font>
    <font>
      <name val="Arial"/>
      <sz val="10"/>
    </font>
    <font>
      <name val="Arial"/>
      <i val="1"/>
      <color rgb="007F7F7F"/>
      <sz val="10"/>
    </font>
    <font>
      <name val="Arial"/>
      <sz val="11"/>
    </font>
    <font>
      <name val="Arial"/>
      <b val="1"/>
      <sz val="11"/>
    </font>
    <font>
      <name val="Arial"/>
      <b val="1"/>
      <color rgb="00C00000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4" fillId="3" borderId="1" pivotButton="0" quotePrefix="0" xfId="0"/>
    <xf numFmtId="164" fontId="4" fillId="3" borderId="1" applyAlignment="1" pivotButton="0" quotePrefix="0" xfId="0">
      <alignment horizontal="center"/>
    </xf>
    <xf numFmtId="165" fontId="4" fillId="3" borderId="1" pivotButton="0" quotePrefix="0" xfId="0"/>
    <xf numFmtId="165" fontId="4" fillId="4" borderId="1" pivotButton="0" quotePrefix="0" xfId="0"/>
    <xf numFmtId="0" fontId="4" fillId="4" borderId="1" applyAlignment="1" pivotButton="0" quotePrefix="0" xfId="0">
      <alignment horizontal="center"/>
    </xf>
    <xf numFmtId="0" fontId="6" fillId="0" borderId="1" pivotButton="0" quotePrefix="0" xfId="0"/>
    <xf numFmtId="165" fontId="7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1" fontId="7" fillId="0" borderId="1" applyAlignment="1" pivotButton="0" quotePrefix="0" xfId="0">
      <alignment horizontal="right"/>
    </xf>
    <xf numFmtId="0" fontId="7" fillId="0" borderId="1" applyAlignment="1" pivotButton="0" quotePrefix="0" xfId="0">
      <alignment horizontal="right"/>
    </xf>
  </cellXfs>
  <cellStyles count="1">
    <cellStyle name="Normal" xfId="0" builtinId="0" hidden="0"/>
  </cellStyles>
  <dxfs count="2">
    <dxf>
      <font>
        <color rgb="009C0006"/>
      </font>
      <fill>
        <patternFill patternType="solid">
          <fgColor rgb="00F8CBAD"/>
        </patternFill>
      </fill>
    </dxf>
    <dxf>
      <font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4" customWidth="1" min="2" max="2"/>
    <col width="26" customWidth="1" min="3" max="3"/>
    <col width="13" customWidth="1" min="4" max="4"/>
    <col width="16" customWidth="1" min="5" max="5"/>
    <col width="16" customWidth="1" min="6" max="6"/>
    <col width="14" customWidth="1" min="7" max="7"/>
    <col width="13" customWidth="1" min="8" max="8"/>
    <col width="14" customWidth="1" min="9" max="9"/>
    <col width="14" customWidth="1" min="10" max="10"/>
    <col width="30" customWidth="1" min="11" max="11"/>
  </cols>
  <sheetData>
    <row r="1">
      <c r="A1" s="1" t="inlineStr">
        <is>
          <t>Suivi des personnes qui me doivent de l'argent</t>
        </is>
      </c>
    </row>
    <row r="2">
      <c r="A2" s="2" t="inlineStr">
        <is>
          <t>Remplissez les cellules jaunes (une ligne par dette). Les colonnes grises se calculent toutes seules. La ligne 5 est un exemple : remplacez-la ou supprimez-la.</t>
        </is>
      </c>
    </row>
    <row r="4" ht="30" customHeight="1">
      <c r="A4" s="3" t="inlineStr">
        <is>
          <t>Nom</t>
        </is>
      </c>
      <c r="B4" s="3" t="inlineStr">
        <is>
          <t>Contact (tél / email)</t>
        </is>
      </c>
      <c r="C4" s="3" t="inlineStr">
        <is>
          <t>Motif</t>
        </is>
      </c>
      <c r="D4" s="3" t="inlineStr">
        <is>
          <t>Date du prêt</t>
        </is>
      </c>
      <c r="E4" s="3" t="inlineStr">
        <is>
          <t>Montant prêté (€)</t>
        </is>
      </c>
      <c r="F4" s="3" t="inlineStr">
        <is>
          <t>Déjà remboursé (€)</t>
        </is>
      </c>
      <c r="G4" s="3" t="inlineStr">
        <is>
          <t>Reste dû (€)</t>
        </is>
      </c>
      <c r="H4" s="3" t="inlineStr">
        <is>
          <t>Échéance</t>
        </is>
      </c>
      <c r="I4" s="3" t="inlineStr">
        <is>
          <t>Jours de retard</t>
        </is>
      </c>
      <c r="J4" s="3" t="inlineStr">
        <is>
          <t>Statut</t>
        </is>
      </c>
      <c r="K4" s="3" t="inlineStr">
        <is>
          <t>Notes</t>
        </is>
      </c>
    </row>
    <row r="5">
      <c r="A5" s="4" t="inlineStr">
        <is>
          <t>Exemple : Julien Martin</t>
        </is>
      </c>
      <c r="B5" s="5" t="inlineStr">
        <is>
          <t>06 12 34 56 78</t>
        </is>
      </c>
      <c r="C5" s="5" t="inlineStr">
        <is>
          <t>Avance pour le loyer</t>
        </is>
      </c>
      <c r="D5" s="6" t="n">
        <v>46188</v>
      </c>
      <c r="E5" s="7" t="n">
        <v>500</v>
      </c>
      <c r="F5" s="7" t="n">
        <v>200</v>
      </c>
      <c r="G5" s="8">
        <f>IF(E5="","",E5-N(F5))</f>
        <v/>
      </c>
      <c r="H5" s="6" t="n">
        <v>46266</v>
      </c>
      <c r="I5" s="9">
        <f>IF(OR(E5="",H5="",G5&lt;=0),"",MAX(0,TODAY()-H5))</f>
        <v/>
      </c>
      <c r="J5" s="9">
        <f>IF(E5="","",IF(G5&lt;=0,"Remboursé",IF(AND(H5&lt;&gt;"",TODAY()&gt;H5),"En retard",IF(N(F5)&gt;0,"Partiel","En cours"))))</f>
        <v/>
      </c>
      <c r="K5" s="5" t="inlineStr">
        <is>
          <t>A promis de rembourser fin octobre</t>
        </is>
      </c>
    </row>
    <row r="6">
      <c r="A6" s="5" t="n"/>
      <c r="B6" s="5" t="n"/>
      <c r="C6" s="5" t="n"/>
      <c r="D6" s="6" t="n"/>
      <c r="E6" s="7" t="n"/>
      <c r="F6" s="7" t="n"/>
      <c r="G6" s="8">
        <f>IF(E6="","",E6-N(F6))</f>
        <v/>
      </c>
      <c r="H6" s="6" t="n"/>
      <c r="I6" s="9">
        <f>IF(OR(E6="",H6="",G6&lt;=0),"",MAX(0,TODAY()-H6))</f>
        <v/>
      </c>
      <c r="J6" s="9">
        <f>IF(E6="","",IF(G6&lt;=0,"Remboursé",IF(AND(H6&lt;&gt;"",TODAY()&gt;H6),"En retard",IF(N(F6)&gt;0,"Partiel","En cours"))))</f>
        <v/>
      </c>
      <c r="K6" s="5" t="n"/>
    </row>
    <row r="7">
      <c r="A7" s="5" t="n"/>
      <c r="B7" s="5" t="n"/>
      <c r="C7" s="5" t="n"/>
      <c r="D7" s="6" t="n"/>
      <c r="E7" s="7" t="n"/>
      <c r="F7" s="7" t="n"/>
      <c r="G7" s="8">
        <f>IF(E7="","",E7-N(F7))</f>
        <v/>
      </c>
      <c r="H7" s="6" t="n"/>
      <c r="I7" s="9">
        <f>IF(OR(E7="",H7="",G7&lt;=0),"",MAX(0,TODAY()-H7))</f>
        <v/>
      </c>
      <c r="J7" s="9">
        <f>IF(E7="","",IF(G7&lt;=0,"Remboursé",IF(AND(H7&lt;&gt;"",TODAY()&gt;H7),"En retard",IF(N(F7)&gt;0,"Partiel","En cours"))))</f>
        <v/>
      </c>
      <c r="K7" s="5" t="n"/>
    </row>
    <row r="8">
      <c r="A8" s="5" t="n"/>
      <c r="B8" s="5" t="n"/>
      <c r="C8" s="5" t="n"/>
      <c r="D8" s="6" t="n"/>
      <c r="E8" s="7" t="n"/>
      <c r="F8" s="7" t="n"/>
      <c r="G8" s="8">
        <f>IF(E8="","",E8-N(F8))</f>
        <v/>
      </c>
      <c r="H8" s="6" t="n"/>
      <c r="I8" s="9">
        <f>IF(OR(E8="",H8="",G8&lt;=0),"",MAX(0,TODAY()-H8))</f>
        <v/>
      </c>
      <c r="J8" s="9">
        <f>IF(E8="","",IF(G8&lt;=0,"Remboursé",IF(AND(H8&lt;&gt;"",TODAY()&gt;H8),"En retard",IF(N(F8)&gt;0,"Partiel","En cours"))))</f>
        <v/>
      </c>
      <c r="K8" s="5" t="n"/>
    </row>
    <row r="9">
      <c r="A9" s="5" t="n"/>
      <c r="B9" s="5" t="n"/>
      <c r="C9" s="5" t="n"/>
      <c r="D9" s="6" t="n"/>
      <c r="E9" s="7" t="n"/>
      <c r="F9" s="7" t="n"/>
      <c r="G9" s="8">
        <f>IF(E9="","",E9-N(F9))</f>
        <v/>
      </c>
      <c r="H9" s="6" t="n"/>
      <c r="I9" s="9">
        <f>IF(OR(E9="",H9="",G9&lt;=0),"",MAX(0,TODAY()-H9))</f>
        <v/>
      </c>
      <c r="J9" s="9">
        <f>IF(E9="","",IF(G9&lt;=0,"Remboursé",IF(AND(H9&lt;&gt;"",TODAY()&gt;H9),"En retard",IF(N(F9)&gt;0,"Partiel","En cours"))))</f>
        <v/>
      </c>
      <c r="K9" s="5" t="n"/>
    </row>
    <row r="10">
      <c r="A10" s="5" t="n"/>
      <c r="B10" s="5" t="n"/>
      <c r="C10" s="5" t="n"/>
      <c r="D10" s="6" t="n"/>
      <c r="E10" s="7" t="n"/>
      <c r="F10" s="7" t="n"/>
      <c r="G10" s="8">
        <f>IF(E10="","",E10-N(F10))</f>
        <v/>
      </c>
      <c r="H10" s="6" t="n"/>
      <c r="I10" s="9">
        <f>IF(OR(E10="",H10="",G10&lt;=0),"",MAX(0,TODAY()-H10))</f>
        <v/>
      </c>
      <c r="J10" s="9">
        <f>IF(E10="","",IF(G10&lt;=0,"Remboursé",IF(AND(H10&lt;&gt;"",TODAY()&gt;H10),"En retard",IF(N(F10)&gt;0,"Partiel","En cours"))))</f>
        <v/>
      </c>
      <c r="K10" s="5" t="n"/>
    </row>
    <row r="11">
      <c r="A11" s="5" t="n"/>
      <c r="B11" s="5" t="n"/>
      <c r="C11" s="5" t="n"/>
      <c r="D11" s="6" t="n"/>
      <c r="E11" s="7" t="n"/>
      <c r="F11" s="7" t="n"/>
      <c r="G11" s="8">
        <f>IF(E11="","",E11-N(F11))</f>
        <v/>
      </c>
      <c r="H11" s="6" t="n"/>
      <c r="I11" s="9">
        <f>IF(OR(E11="",H11="",G11&lt;=0),"",MAX(0,TODAY()-H11))</f>
        <v/>
      </c>
      <c r="J11" s="9">
        <f>IF(E11="","",IF(G11&lt;=0,"Remboursé",IF(AND(H11&lt;&gt;"",TODAY()&gt;H11),"En retard",IF(N(F11)&gt;0,"Partiel","En cours"))))</f>
        <v/>
      </c>
      <c r="K11" s="5" t="n"/>
    </row>
    <row r="12">
      <c r="A12" s="5" t="n"/>
      <c r="B12" s="5" t="n"/>
      <c r="C12" s="5" t="n"/>
      <c r="D12" s="6" t="n"/>
      <c r="E12" s="7" t="n"/>
      <c r="F12" s="7" t="n"/>
      <c r="G12" s="8">
        <f>IF(E12="","",E12-N(F12))</f>
        <v/>
      </c>
      <c r="H12" s="6" t="n"/>
      <c r="I12" s="9">
        <f>IF(OR(E12="",H12="",G12&lt;=0),"",MAX(0,TODAY()-H12))</f>
        <v/>
      </c>
      <c r="J12" s="9">
        <f>IF(E12="","",IF(G12&lt;=0,"Remboursé",IF(AND(H12&lt;&gt;"",TODAY()&gt;H12),"En retard",IF(N(F12)&gt;0,"Partiel","En cours"))))</f>
        <v/>
      </c>
      <c r="K12" s="5" t="n"/>
    </row>
    <row r="13">
      <c r="A13" s="5" t="n"/>
      <c r="B13" s="5" t="n"/>
      <c r="C13" s="5" t="n"/>
      <c r="D13" s="6" t="n"/>
      <c r="E13" s="7" t="n"/>
      <c r="F13" s="7" t="n"/>
      <c r="G13" s="8">
        <f>IF(E13="","",E13-N(F13))</f>
        <v/>
      </c>
      <c r="H13" s="6" t="n"/>
      <c r="I13" s="9">
        <f>IF(OR(E13="",H13="",G13&lt;=0),"",MAX(0,TODAY()-H13))</f>
        <v/>
      </c>
      <c r="J13" s="9">
        <f>IF(E13="","",IF(G13&lt;=0,"Remboursé",IF(AND(H13&lt;&gt;"",TODAY()&gt;H13),"En retard",IF(N(F13)&gt;0,"Partiel","En cours"))))</f>
        <v/>
      </c>
      <c r="K13" s="5" t="n"/>
    </row>
    <row r="14">
      <c r="A14" s="5" t="n"/>
      <c r="B14" s="5" t="n"/>
      <c r="C14" s="5" t="n"/>
      <c r="D14" s="6" t="n"/>
      <c r="E14" s="7" t="n"/>
      <c r="F14" s="7" t="n"/>
      <c r="G14" s="8">
        <f>IF(E14="","",E14-N(F14))</f>
        <v/>
      </c>
      <c r="H14" s="6" t="n"/>
      <c r="I14" s="9">
        <f>IF(OR(E14="",H14="",G14&lt;=0),"",MAX(0,TODAY()-H14))</f>
        <v/>
      </c>
      <c r="J14" s="9">
        <f>IF(E14="","",IF(G14&lt;=0,"Remboursé",IF(AND(H14&lt;&gt;"",TODAY()&gt;H14),"En retard",IF(N(F14)&gt;0,"Partiel","En cours"))))</f>
        <v/>
      </c>
      <c r="K14" s="5" t="n"/>
    </row>
    <row r="15">
      <c r="A15" s="5" t="n"/>
      <c r="B15" s="5" t="n"/>
      <c r="C15" s="5" t="n"/>
      <c r="D15" s="6" t="n"/>
      <c r="E15" s="7" t="n"/>
      <c r="F15" s="7" t="n"/>
      <c r="G15" s="8">
        <f>IF(E15="","",E15-N(F15))</f>
        <v/>
      </c>
      <c r="H15" s="6" t="n"/>
      <c r="I15" s="9">
        <f>IF(OR(E15="",H15="",G15&lt;=0),"",MAX(0,TODAY()-H15))</f>
        <v/>
      </c>
      <c r="J15" s="9">
        <f>IF(E15="","",IF(G15&lt;=0,"Remboursé",IF(AND(H15&lt;&gt;"",TODAY()&gt;H15),"En retard",IF(N(F15)&gt;0,"Partiel","En cours"))))</f>
        <v/>
      </c>
      <c r="K15" s="5" t="n"/>
    </row>
    <row r="16">
      <c r="A16" s="5" t="n"/>
      <c r="B16" s="5" t="n"/>
      <c r="C16" s="5" t="n"/>
      <c r="D16" s="6" t="n"/>
      <c r="E16" s="7" t="n"/>
      <c r="F16" s="7" t="n"/>
      <c r="G16" s="8">
        <f>IF(E16="","",E16-N(F16))</f>
        <v/>
      </c>
      <c r="H16" s="6" t="n"/>
      <c r="I16" s="9">
        <f>IF(OR(E16="",H16="",G16&lt;=0),"",MAX(0,TODAY()-H16))</f>
        <v/>
      </c>
      <c r="J16" s="9">
        <f>IF(E16="","",IF(G16&lt;=0,"Remboursé",IF(AND(H16&lt;&gt;"",TODAY()&gt;H16),"En retard",IF(N(F16)&gt;0,"Partiel","En cours"))))</f>
        <v/>
      </c>
      <c r="K16" s="5" t="n"/>
    </row>
    <row r="17">
      <c r="A17" s="5" t="n"/>
      <c r="B17" s="5" t="n"/>
      <c r="C17" s="5" t="n"/>
      <c r="D17" s="6" t="n"/>
      <c r="E17" s="7" t="n"/>
      <c r="F17" s="7" t="n"/>
      <c r="G17" s="8">
        <f>IF(E17="","",E17-N(F17))</f>
        <v/>
      </c>
      <c r="H17" s="6" t="n"/>
      <c r="I17" s="9">
        <f>IF(OR(E17="",H17="",G17&lt;=0),"",MAX(0,TODAY()-H17))</f>
        <v/>
      </c>
      <c r="J17" s="9">
        <f>IF(E17="","",IF(G17&lt;=0,"Remboursé",IF(AND(H17&lt;&gt;"",TODAY()&gt;H17),"En retard",IF(N(F17)&gt;0,"Partiel","En cours"))))</f>
        <v/>
      </c>
      <c r="K17" s="5" t="n"/>
    </row>
    <row r="18">
      <c r="A18" s="5" t="n"/>
      <c r="B18" s="5" t="n"/>
      <c r="C18" s="5" t="n"/>
      <c r="D18" s="6" t="n"/>
      <c r="E18" s="7" t="n"/>
      <c r="F18" s="7" t="n"/>
      <c r="G18" s="8">
        <f>IF(E18="","",E18-N(F18))</f>
        <v/>
      </c>
      <c r="H18" s="6" t="n"/>
      <c r="I18" s="9">
        <f>IF(OR(E18="",H18="",G18&lt;=0),"",MAX(0,TODAY()-H18))</f>
        <v/>
      </c>
      <c r="J18" s="9">
        <f>IF(E18="","",IF(G18&lt;=0,"Remboursé",IF(AND(H18&lt;&gt;"",TODAY()&gt;H18),"En retard",IF(N(F18)&gt;0,"Partiel","En cours"))))</f>
        <v/>
      </c>
      <c r="K18" s="5" t="n"/>
    </row>
    <row r="19">
      <c r="A19" s="5" t="n"/>
      <c r="B19" s="5" t="n"/>
      <c r="C19" s="5" t="n"/>
      <c r="D19" s="6" t="n"/>
      <c r="E19" s="7" t="n"/>
      <c r="F19" s="7" t="n"/>
      <c r="G19" s="8">
        <f>IF(E19="","",E19-N(F19))</f>
        <v/>
      </c>
      <c r="H19" s="6" t="n"/>
      <c r="I19" s="9">
        <f>IF(OR(E19="",H19="",G19&lt;=0),"",MAX(0,TODAY()-H19))</f>
        <v/>
      </c>
      <c r="J19" s="9">
        <f>IF(E19="","",IF(G19&lt;=0,"Remboursé",IF(AND(H19&lt;&gt;"",TODAY()&gt;H19),"En retard",IF(N(F19)&gt;0,"Partiel","En cours"))))</f>
        <v/>
      </c>
      <c r="K19" s="5" t="n"/>
    </row>
    <row r="20">
      <c r="A20" s="5" t="n"/>
      <c r="B20" s="5" t="n"/>
      <c r="C20" s="5" t="n"/>
      <c r="D20" s="6" t="n"/>
      <c r="E20" s="7" t="n"/>
      <c r="F20" s="7" t="n"/>
      <c r="G20" s="8">
        <f>IF(E20="","",E20-N(F20))</f>
        <v/>
      </c>
      <c r="H20" s="6" t="n"/>
      <c r="I20" s="9">
        <f>IF(OR(E20="",H20="",G20&lt;=0),"",MAX(0,TODAY()-H20))</f>
        <v/>
      </c>
      <c r="J20" s="9">
        <f>IF(E20="","",IF(G20&lt;=0,"Remboursé",IF(AND(H20&lt;&gt;"",TODAY()&gt;H20),"En retard",IF(N(F20)&gt;0,"Partiel","En cours"))))</f>
        <v/>
      </c>
      <c r="K20" s="5" t="n"/>
    </row>
    <row r="21">
      <c r="A21" s="5" t="n"/>
      <c r="B21" s="5" t="n"/>
      <c r="C21" s="5" t="n"/>
      <c r="D21" s="6" t="n"/>
      <c r="E21" s="7" t="n"/>
      <c r="F21" s="7" t="n"/>
      <c r="G21" s="8">
        <f>IF(E21="","",E21-N(F21))</f>
        <v/>
      </c>
      <c r="H21" s="6" t="n"/>
      <c r="I21" s="9">
        <f>IF(OR(E21="",H21="",G21&lt;=0),"",MAX(0,TODAY()-H21))</f>
        <v/>
      </c>
      <c r="J21" s="9">
        <f>IF(E21="","",IF(G21&lt;=0,"Remboursé",IF(AND(H21&lt;&gt;"",TODAY()&gt;H21),"En retard",IF(N(F21)&gt;0,"Partiel","En cours"))))</f>
        <v/>
      </c>
      <c r="K21" s="5" t="n"/>
    </row>
    <row r="22">
      <c r="A22" s="5" t="n"/>
      <c r="B22" s="5" t="n"/>
      <c r="C22" s="5" t="n"/>
      <c r="D22" s="6" t="n"/>
      <c r="E22" s="7" t="n"/>
      <c r="F22" s="7" t="n"/>
      <c r="G22" s="8">
        <f>IF(E22="","",E22-N(F22))</f>
        <v/>
      </c>
      <c r="H22" s="6" t="n"/>
      <c r="I22" s="9">
        <f>IF(OR(E22="",H22="",G22&lt;=0),"",MAX(0,TODAY()-H22))</f>
        <v/>
      </c>
      <c r="J22" s="9">
        <f>IF(E22="","",IF(G22&lt;=0,"Remboursé",IF(AND(H22&lt;&gt;"",TODAY()&gt;H22),"En retard",IF(N(F22)&gt;0,"Partiel","En cours"))))</f>
        <v/>
      </c>
      <c r="K22" s="5" t="n"/>
    </row>
    <row r="23">
      <c r="A23" s="5" t="n"/>
      <c r="B23" s="5" t="n"/>
      <c r="C23" s="5" t="n"/>
      <c r="D23" s="6" t="n"/>
      <c r="E23" s="7" t="n"/>
      <c r="F23" s="7" t="n"/>
      <c r="G23" s="8">
        <f>IF(E23="","",E23-N(F23))</f>
        <v/>
      </c>
      <c r="H23" s="6" t="n"/>
      <c r="I23" s="9">
        <f>IF(OR(E23="",H23="",G23&lt;=0),"",MAX(0,TODAY()-H23))</f>
        <v/>
      </c>
      <c r="J23" s="9">
        <f>IF(E23="","",IF(G23&lt;=0,"Remboursé",IF(AND(H23&lt;&gt;"",TODAY()&gt;H23),"En retard",IF(N(F23)&gt;0,"Partiel","En cours"))))</f>
        <v/>
      </c>
      <c r="K23" s="5" t="n"/>
    </row>
    <row r="24">
      <c r="A24" s="5" t="n"/>
      <c r="B24" s="5" t="n"/>
      <c r="C24" s="5" t="n"/>
      <c r="D24" s="6" t="n"/>
      <c r="E24" s="7" t="n"/>
      <c r="F24" s="7" t="n"/>
      <c r="G24" s="8">
        <f>IF(E24="","",E24-N(F24))</f>
        <v/>
      </c>
      <c r="H24" s="6" t="n"/>
      <c r="I24" s="9">
        <f>IF(OR(E24="",H24="",G24&lt;=0),"",MAX(0,TODAY()-H24))</f>
        <v/>
      </c>
      <c r="J24" s="9">
        <f>IF(E24="","",IF(G24&lt;=0,"Remboursé",IF(AND(H24&lt;&gt;"",TODAY()&gt;H24),"En retard",IF(N(F24)&gt;0,"Partiel","En cours"))))</f>
        <v/>
      </c>
      <c r="K24" s="5" t="n"/>
    </row>
    <row r="25">
      <c r="A25" s="5" t="n"/>
      <c r="B25" s="5" t="n"/>
      <c r="C25" s="5" t="n"/>
      <c r="D25" s="6" t="n"/>
      <c r="E25" s="7" t="n"/>
      <c r="F25" s="7" t="n"/>
      <c r="G25" s="8">
        <f>IF(E25="","",E25-N(F25))</f>
        <v/>
      </c>
      <c r="H25" s="6" t="n"/>
      <c r="I25" s="9">
        <f>IF(OR(E25="",H25="",G25&lt;=0),"",MAX(0,TODAY()-H25))</f>
        <v/>
      </c>
      <c r="J25" s="9">
        <f>IF(E25="","",IF(G25&lt;=0,"Remboursé",IF(AND(H25&lt;&gt;"",TODAY()&gt;H25),"En retard",IF(N(F25)&gt;0,"Partiel","En cours"))))</f>
        <v/>
      </c>
      <c r="K25" s="5" t="n"/>
    </row>
    <row r="26">
      <c r="A26" s="5" t="n"/>
      <c r="B26" s="5" t="n"/>
      <c r="C26" s="5" t="n"/>
      <c r="D26" s="6" t="n"/>
      <c r="E26" s="7" t="n"/>
      <c r="F26" s="7" t="n"/>
      <c r="G26" s="8">
        <f>IF(E26="","",E26-N(F26))</f>
        <v/>
      </c>
      <c r="H26" s="6" t="n"/>
      <c r="I26" s="9">
        <f>IF(OR(E26="",H26="",G26&lt;=0),"",MAX(0,TODAY()-H26))</f>
        <v/>
      </c>
      <c r="J26" s="9">
        <f>IF(E26="","",IF(G26&lt;=0,"Remboursé",IF(AND(H26&lt;&gt;"",TODAY()&gt;H26),"En retard",IF(N(F26)&gt;0,"Partiel","En cours"))))</f>
        <v/>
      </c>
      <c r="K26" s="5" t="n"/>
    </row>
    <row r="27">
      <c r="A27" s="5" t="n"/>
      <c r="B27" s="5" t="n"/>
      <c r="C27" s="5" t="n"/>
      <c r="D27" s="6" t="n"/>
      <c r="E27" s="7" t="n"/>
      <c r="F27" s="7" t="n"/>
      <c r="G27" s="8">
        <f>IF(E27="","",E27-N(F27))</f>
        <v/>
      </c>
      <c r="H27" s="6" t="n"/>
      <c r="I27" s="9">
        <f>IF(OR(E27="",H27="",G27&lt;=0),"",MAX(0,TODAY()-H27))</f>
        <v/>
      </c>
      <c r="J27" s="9">
        <f>IF(E27="","",IF(G27&lt;=0,"Remboursé",IF(AND(H27&lt;&gt;"",TODAY()&gt;H27),"En retard",IF(N(F27)&gt;0,"Partiel","En cours"))))</f>
        <v/>
      </c>
      <c r="K27" s="5" t="n"/>
    </row>
    <row r="28">
      <c r="A28" s="5" t="n"/>
      <c r="B28" s="5" t="n"/>
      <c r="C28" s="5" t="n"/>
      <c r="D28" s="6" t="n"/>
      <c r="E28" s="7" t="n"/>
      <c r="F28" s="7" t="n"/>
      <c r="G28" s="8">
        <f>IF(E28="","",E28-N(F28))</f>
        <v/>
      </c>
      <c r="H28" s="6" t="n"/>
      <c r="I28" s="9">
        <f>IF(OR(E28="",H28="",G28&lt;=0),"",MAX(0,TODAY()-H28))</f>
        <v/>
      </c>
      <c r="J28" s="9">
        <f>IF(E28="","",IF(G28&lt;=0,"Remboursé",IF(AND(H28&lt;&gt;"",TODAY()&gt;H28),"En retard",IF(N(F28)&gt;0,"Partiel","En cours"))))</f>
        <v/>
      </c>
      <c r="K28" s="5" t="n"/>
    </row>
    <row r="29">
      <c r="A29" s="5" t="n"/>
      <c r="B29" s="5" t="n"/>
      <c r="C29" s="5" t="n"/>
      <c r="D29" s="6" t="n"/>
      <c r="E29" s="7" t="n"/>
      <c r="F29" s="7" t="n"/>
      <c r="G29" s="8">
        <f>IF(E29="","",E29-N(F29))</f>
        <v/>
      </c>
      <c r="H29" s="6" t="n"/>
      <c r="I29" s="9">
        <f>IF(OR(E29="",H29="",G29&lt;=0),"",MAX(0,TODAY()-H29))</f>
        <v/>
      </c>
      <c r="J29" s="9">
        <f>IF(E29="","",IF(G29&lt;=0,"Remboursé",IF(AND(H29&lt;&gt;"",TODAY()&gt;H29),"En retard",IF(N(F29)&gt;0,"Partiel","En cours"))))</f>
        <v/>
      </c>
      <c r="K29" s="5" t="n"/>
    </row>
    <row r="30">
      <c r="A30" s="5" t="n"/>
      <c r="B30" s="5" t="n"/>
      <c r="C30" s="5" t="n"/>
      <c r="D30" s="6" t="n"/>
      <c r="E30" s="7" t="n"/>
      <c r="F30" s="7" t="n"/>
      <c r="G30" s="8">
        <f>IF(E30="","",E30-N(F30))</f>
        <v/>
      </c>
      <c r="H30" s="6" t="n"/>
      <c r="I30" s="9">
        <f>IF(OR(E30="",H30="",G30&lt;=0),"",MAX(0,TODAY()-H30))</f>
        <v/>
      </c>
      <c r="J30" s="9">
        <f>IF(E30="","",IF(G30&lt;=0,"Remboursé",IF(AND(H30&lt;&gt;"",TODAY()&gt;H30),"En retard",IF(N(F30)&gt;0,"Partiel","En cours"))))</f>
        <v/>
      </c>
      <c r="K30" s="5" t="n"/>
    </row>
    <row r="31">
      <c r="A31" s="5" t="n"/>
      <c r="B31" s="5" t="n"/>
      <c r="C31" s="5" t="n"/>
      <c r="D31" s="6" t="n"/>
      <c r="E31" s="7" t="n"/>
      <c r="F31" s="7" t="n"/>
      <c r="G31" s="8">
        <f>IF(E31="","",E31-N(F31))</f>
        <v/>
      </c>
      <c r="H31" s="6" t="n"/>
      <c r="I31" s="9">
        <f>IF(OR(E31="",H31="",G31&lt;=0),"",MAX(0,TODAY()-H31))</f>
        <v/>
      </c>
      <c r="J31" s="9">
        <f>IF(E31="","",IF(G31&lt;=0,"Remboursé",IF(AND(H31&lt;&gt;"",TODAY()&gt;H31),"En retard",IF(N(F31)&gt;0,"Partiel","En cours"))))</f>
        <v/>
      </c>
      <c r="K31" s="5" t="n"/>
    </row>
    <row r="32">
      <c r="A32" s="5" t="n"/>
      <c r="B32" s="5" t="n"/>
      <c r="C32" s="5" t="n"/>
      <c r="D32" s="6" t="n"/>
      <c r="E32" s="7" t="n"/>
      <c r="F32" s="7" t="n"/>
      <c r="G32" s="8">
        <f>IF(E32="","",E32-N(F32))</f>
        <v/>
      </c>
      <c r="H32" s="6" t="n"/>
      <c r="I32" s="9">
        <f>IF(OR(E32="",H32="",G32&lt;=0),"",MAX(0,TODAY()-H32))</f>
        <v/>
      </c>
      <c r="J32" s="9">
        <f>IF(E32="","",IF(G32&lt;=0,"Remboursé",IF(AND(H32&lt;&gt;"",TODAY()&gt;H32),"En retard",IF(N(F32)&gt;0,"Partiel","En cours"))))</f>
        <v/>
      </c>
      <c r="K32" s="5" t="n"/>
    </row>
    <row r="33">
      <c r="A33" s="5" t="n"/>
      <c r="B33" s="5" t="n"/>
      <c r="C33" s="5" t="n"/>
      <c r="D33" s="6" t="n"/>
      <c r="E33" s="7" t="n"/>
      <c r="F33" s="7" t="n"/>
      <c r="G33" s="8">
        <f>IF(E33="","",E33-N(F33))</f>
        <v/>
      </c>
      <c r="H33" s="6" t="n"/>
      <c r="I33" s="9">
        <f>IF(OR(E33="",H33="",G33&lt;=0),"",MAX(0,TODAY()-H33))</f>
        <v/>
      </c>
      <c r="J33" s="9">
        <f>IF(E33="","",IF(G33&lt;=0,"Remboursé",IF(AND(H33&lt;&gt;"",TODAY()&gt;H33),"En retard",IF(N(F33)&gt;0,"Partiel","En cours"))))</f>
        <v/>
      </c>
      <c r="K33" s="5" t="n"/>
    </row>
    <row r="34">
      <c r="A34" s="5" t="n"/>
      <c r="B34" s="5" t="n"/>
      <c r="C34" s="5" t="n"/>
      <c r="D34" s="6" t="n"/>
      <c r="E34" s="7" t="n"/>
      <c r="F34" s="7" t="n"/>
      <c r="G34" s="8">
        <f>IF(E34="","",E34-N(F34))</f>
        <v/>
      </c>
      <c r="H34" s="6" t="n"/>
      <c r="I34" s="9">
        <f>IF(OR(E34="",H34="",G34&lt;=0),"",MAX(0,TODAY()-H34))</f>
        <v/>
      </c>
      <c r="J34" s="9">
        <f>IF(E34="","",IF(G34&lt;=0,"Remboursé",IF(AND(H34&lt;&gt;"",TODAY()&gt;H34),"En retard",IF(N(F34)&gt;0,"Partiel","En cours"))))</f>
        <v/>
      </c>
      <c r="K34" s="5" t="n"/>
    </row>
    <row r="35">
      <c r="A35" s="5" t="n"/>
      <c r="B35" s="5" t="n"/>
      <c r="C35" s="5" t="n"/>
      <c r="D35" s="6" t="n"/>
      <c r="E35" s="7" t="n"/>
      <c r="F35" s="7" t="n"/>
      <c r="G35" s="8">
        <f>IF(E35="","",E35-N(F35))</f>
        <v/>
      </c>
      <c r="H35" s="6" t="n"/>
      <c r="I35" s="9">
        <f>IF(OR(E35="",H35="",G35&lt;=0),"",MAX(0,TODAY()-H35))</f>
        <v/>
      </c>
      <c r="J35" s="9">
        <f>IF(E35="","",IF(G35&lt;=0,"Remboursé",IF(AND(H35&lt;&gt;"",TODAY()&gt;H35),"En retard",IF(N(F35)&gt;0,"Partiel","En cours"))))</f>
        <v/>
      </c>
      <c r="K35" s="5" t="n"/>
    </row>
    <row r="36">
      <c r="A36" s="5" t="n"/>
      <c r="B36" s="5" t="n"/>
      <c r="C36" s="5" t="n"/>
      <c r="D36" s="6" t="n"/>
      <c r="E36" s="7" t="n"/>
      <c r="F36" s="7" t="n"/>
      <c r="G36" s="8">
        <f>IF(E36="","",E36-N(F36))</f>
        <v/>
      </c>
      <c r="H36" s="6" t="n"/>
      <c r="I36" s="9">
        <f>IF(OR(E36="",H36="",G36&lt;=0),"",MAX(0,TODAY()-H36))</f>
        <v/>
      </c>
      <c r="J36" s="9">
        <f>IF(E36="","",IF(G36&lt;=0,"Remboursé",IF(AND(H36&lt;&gt;"",TODAY()&gt;H36),"En retard",IF(N(F36)&gt;0,"Partiel","En cours"))))</f>
        <v/>
      </c>
      <c r="K36" s="5" t="n"/>
    </row>
    <row r="37">
      <c r="A37" s="5" t="n"/>
      <c r="B37" s="5" t="n"/>
      <c r="C37" s="5" t="n"/>
      <c r="D37" s="6" t="n"/>
      <c r="E37" s="7" t="n"/>
      <c r="F37" s="7" t="n"/>
      <c r="G37" s="8">
        <f>IF(E37="","",E37-N(F37))</f>
        <v/>
      </c>
      <c r="H37" s="6" t="n"/>
      <c r="I37" s="9">
        <f>IF(OR(E37="",H37="",G37&lt;=0),"",MAX(0,TODAY()-H37))</f>
        <v/>
      </c>
      <c r="J37" s="9">
        <f>IF(E37="","",IF(G37&lt;=0,"Remboursé",IF(AND(H37&lt;&gt;"",TODAY()&gt;H37),"En retard",IF(N(F37)&gt;0,"Partiel","En cours"))))</f>
        <v/>
      </c>
      <c r="K37" s="5" t="n"/>
    </row>
    <row r="38">
      <c r="A38" s="5" t="n"/>
      <c r="B38" s="5" t="n"/>
      <c r="C38" s="5" t="n"/>
      <c r="D38" s="6" t="n"/>
      <c r="E38" s="7" t="n"/>
      <c r="F38" s="7" t="n"/>
      <c r="G38" s="8">
        <f>IF(E38="","",E38-N(F38))</f>
        <v/>
      </c>
      <c r="H38" s="6" t="n"/>
      <c r="I38" s="9">
        <f>IF(OR(E38="",H38="",G38&lt;=0),"",MAX(0,TODAY()-H38))</f>
        <v/>
      </c>
      <c r="J38" s="9">
        <f>IF(E38="","",IF(G38&lt;=0,"Remboursé",IF(AND(H38&lt;&gt;"",TODAY()&gt;H38),"En retard",IF(N(F38)&gt;0,"Partiel","En cours"))))</f>
        <v/>
      </c>
      <c r="K38" s="5" t="n"/>
    </row>
    <row r="39">
      <c r="A39" s="5" t="n"/>
      <c r="B39" s="5" t="n"/>
      <c r="C39" s="5" t="n"/>
      <c r="D39" s="6" t="n"/>
      <c r="E39" s="7" t="n"/>
      <c r="F39" s="7" t="n"/>
      <c r="G39" s="8">
        <f>IF(E39="","",E39-N(F39))</f>
        <v/>
      </c>
      <c r="H39" s="6" t="n"/>
      <c r="I39" s="9">
        <f>IF(OR(E39="",H39="",G39&lt;=0),"",MAX(0,TODAY()-H39))</f>
        <v/>
      </c>
      <c r="J39" s="9">
        <f>IF(E39="","",IF(G39&lt;=0,"Remboursé",IF(AND(H39&lt;&gt;"",TODAY()&gt;H39),"En retard",IF(N(F39)&gt;0,"Partiel","En cours"))))</f>
        <v/>
      </c>
      <c r="K39" s="5" t="n"/>
    </row>
    <row r="40">
      <c r="A40" s="5" t="n"/>
      <c r="B40" s="5" t="n"/>
      <c r="C40" s="5" t="n"/>
      <c r="D40" s="6" t="n"/>
      <c r="E40" s="7" t="n"/>
      <c r="F40" s="7" t="n"/>
      <c r="G40" s="8">
        <f>IF(E40="","",E40-N(F40))</f>
        <v/>
      </c>
      <c r="H40" s="6" t="n"/>
      <c r="I40" s="9">
        <f>IF(OR(E40="",H40="",G40&lt;=0),"",MAX(0,TODAY()-H40))</f>
        <v/>
      </c>
      <c r="J40" s="9">
        <f>IF(E40="","",IF(G40&lt;=0,"Remboursé",IF(AND(H40&lt;&gt;"",TODAY()&gt;H40),"En retard",IF(N(F40)&gt;0,"Partiel","En cours"))))</f>
        <v/>
      </c>
      <c r="K40" s="5" t="n"/>
    </row>
    <row r="41">
      <c r="A41" s="5" t="n"/>
      <c r="B41" s="5" t="n"/>
      <c r="C41" s="5" t="n"/>
      <c r="D41" s="6" t="n"/>
      <c r="E41" s="7" t="n"/>
      <c r="F41" s="7" t="n"/>
      <c r="G41" s="8">
        <f>IF(E41="","",E41-N(F41))</f>
        <v/>
      </c>
      <c r="H41" s="6" t="n"/>
      <c r="I41" s="9">
        <f>IF(OR(E41="",H41="",G41&lt;=0),"",MAX(0,TODAY()-H41))</f>
        <v/>
      </c>
      <c r="J41" s="9">
        <f>IF(E41="","",IF(G41&lt;=0,"Remboursé",IF(AND(H41&lt;&gt;"",TODAY()&gt;H41),"En retard",IF(N(F41)&gt;0,"Partiel","En cours"))))</f>
        <v/>
      </c>
      <c r="K41" s="5" t="n"/>
    </row>
    <row r="42">
      <c r="A42" s="5" t="n"/>
      <c r="B42" s="5" t="n"/>
      <c r="C42" s="5" t="n"/>
      <c r="D42" s="6" t="n"/>
      <c r="E42" s="7" t="n"/>
      <c r="F42" s="7" t="n"/>
      <c r="G42" s="8">
        <f>IF(E42="","",E42-N(F42))</f>
        <v/>
      </c>
      <c r="H42" s="6" t="n"/>
      <c r="I42" s="9">
        <f>IF(OR(E42="",H42="",G42&lt;=0),"",MAX(0,TODAY()-H42))</f>
        <v/>
      </c>
      <c r="J42" s="9">
        <f>IF(E42="","",IF(G42&lt;=0,"Remboursé",IF(AND(H42&lt;&gt;"",TODAY()&gt;H42),"En retard",IF(N(F42)&gt;0,"Partiel","En cours"))))</f>
        <v/>
      </c>
      <c r="K42" s="5" t="n"/>
    </row>
    <row r="43">
      <c r="A43" s="5" t="n"/>
      <c r="B43" s="5" t="n"/>
      <c r="C43" s="5" t="n"/>
      <c r="D43" s="6" t="n"/>
      <c r="E43" s="7" t="n"/>
      <c r="F43" s="7" t="n"/>
      <c r="G43" s="8">
        <f>IF(E43="","",E43-N(F43))</f>
        <v/>
      </c>
      <c r="H43" s="6" t="n"/>
      <c r="I43" s="9">
        <f>IF(OR(E43="",H43="",G43&lt;=0),"",MAX(0,TODAY()-H43))</f>
        <v/>
      </c>
      <c r="J43" s="9">
        <f>IF(E43="","",IF(G43&lt;=0,"Remboursé",IF(AND(H43&lt;&gt;"",TODAY()&gt;H43),"En retard",IF(N(F43)&gt;0,"Partiel","En cours"))))</f>
        <v/>
      </c>
      <c r="K43" s="5" t="n"/>
    </row>
    <row r="44">
      <c r="A44" s="5" t="n"/>
      <c r="B44" s="5" t="n"/>
      <c r="C44" s="5" t="n"/>
      <c r="D44" s="6" t="n"/>
      <c r="E44" s="7" t="n"/>
      <c r="F44" s="7" t="n"/>
      <c r="G44" s="8">
        <f>IF(E44="","",E44-N(F44))</f>
        <v/>
      </c>
      <c r="H44" s="6" t="n"/>
      <c r="I44" s="9">
        <f>IF(OR(E44="",H44="",G44&lt;=0),"",MAX(0,TODAY()-H44))</f>
        <v/>
      </c>
      <c r="J44" s="9">
        <f>IF(E44="","",IF(G44&lt;=0,"Remboursé",IF(AND(H44&lt;&gt;"",TODAY()&gt;H44),"En retard",IF(N(F44)&gt;0,"Partiel","En cours"))))</f>
        <v/>
      </c>
      <c r="K44" s="5" t="n"/>
    </row>
    <row r="45">
      <c r="A45" s="5" t="n"/>
      <c r="B45" s="5" t="n"/>
      <c r="C45" s="5" t="n"/>
      <c r="D45" s="6" t="n"/>
      <c r="E45" s="7" t="n"/>
      <c r="F45" s="7" t="n"/>
      <c r="G45" s="8">
        <f>IF(E45="","",E45-N(F45))</f>
        <v/>
      </c>
      <c r="H45" s="6" t="n"/>
      <c r="I45" s="9">
        <f>IF(OR(E45="",H45="",G45&lt;=0),"",MAX(0,TODAY()-H45))</f>
        <v/>
      </c>
      <c r="J45" s="9">
        <f>IF(E45="","",IF(G45&lt;=0,"Remboursé",IF(AND(H45&lt;&gt;"",TODAY()&gt;H45),"En retard",IF(N(F45)&gt;0,"Partiel","En cours"))))</f>
        <v/>
      </c>
      <c r="K45" s="5" t="n"/>
    </row>
    <row r="46">
      <c r="A46" s="5" t="n"/>
      <c r="B46" s="5" t="n"/>
      <c r="C46" s="5" t="n"/>
      <c r="D46" s="6" t="n"/>
      <c r="E46" s="7" t="n"/>
      <c r="F46" s="7" t="n"/>
      <c r="G46" s="8">
        <f>IF(E46="","",E46-N(F46))</f>
        <v/>
      </c>
      <c r="H46" s="6" t="n"/>
      <c r="I46" s="9">
        <f>IF(OR(E46="",H46="",G46&lt;=0),"",MAX(0,TODAY()-H46))</f>
        <v/>
      </c>
      <c r="J46" s="9">
        <f>IF(E46="","",IF(G46&lt;=0,"Remboursé",IF(AND(H46&lt;&gt;"",TODAY()&gt;H46),"En retard",IF(N(F46)&gt;0,"Partiel","En cours"))))</f>
        <v/>
      </c>
      <c r="K46" s="5" t="n"/>
    </row>
    <row r="47">
      <c r="A47" s="5" t="n"/>
      <c r="B47" s="5" t="n"/>
      <c r="C47" s="5" t="n"/>
      <c r="D47" s="6" t="n"/>
      <c r="E47" s="7" t="n"/>
      <c r="F47" s="7" t="n"/>
      <c r="G47" s="8">
        <f>IF(E47="","",E47-N(F47))</f>
        <v/>
      </c>
      <c r="H47" s="6" t="n"/>
      <c r="I47" s="9">
        <f>IF(OR(E47="",H47="",G47&lt;=0),"",MAX(0,TODAY()-H47))</f>
        <v/>
      </c>
      <c r="J47" s="9">
        <f>IF(E47="","",IF(G47&lt;=0,"Remboursé",IF(AND(H47&lt;&gt;"",TODAY()&gt;H47),"En retard",IF(N(F47)&gt;0,"Partiel","En cours"))))</f>
        <v/>
      </c>
      <c r="K47" s="5" t="n"/>
    </row>
    <row r="48">
      <c r="A48" s="5" t="n"/>
      <c r="B48" s="5" t="n"/>
      <c r="C48" s="5" t="n"/>
      <c r="D48" s="6" t="n"/>
      <c r="E48" s="7" t="n"/>
      <c r="F48" s="7" t="n"/>
      <c r="G48" s="8">
        <f>IF(E48="","",E48-N(F48))</f>
        <v/>
      </c>
      <c r="H48" s="6" t="n"/>
      <c r="I48" s="9">
        <f>IF(OR(E48="",H48="",G48&lt;=0),"",MAX(0,TODAY()-H48))</f>
        <v/>
      </c>
      <c r="J48" s="9">
        <f>IF(E48="","",IF(G48&lt;=0,"Remboursé",IF(AND(H48&lt;&gt;"",TODAY()&gt;H48),"En retard",IF(N(F48)&gt;0,"Partiel","En cours"))))</f>
        <v/>
      </c>
      <c r="K48" s="5" t="n"/>
    </row>
    <row r="49">
      <c r="A49" s="5" t="n"/>
      <c r="B49" s="5" t="n"/>
      <c r="C49" s="5" t="n"/>
      <c r="D49" s="6" t="n"/>
      <c r="E49" s="7" t="n"/>
      <c r="F49" s="7" t="n"/>
      <c r="G49" s="8">
        <f>IF(E49="","",E49-N(F49))</f>
        <v/>
      </c>
      <c r="H49" s="6" t="n"/>
      <c r="I49" s="9">
        <f>IF(OR(E49="",H49="",G49&lt;=0),"",MAX(0,TODAY()-H49))</f>
        <v/>
      </c>
      <c r="J49" s="9">
        <f>IF(E49="","",IF(G49&lt;=0,"Remboursé",IF(AND(H49&lt;&gt;"",TODAY()&gt;H49),"En retard",IF(N(F49)&gt;0,"Partiel","En cours"))))</f>
        <v/>
      </c>
      <c r="K49" s="5" t="n"/>
    </row>
    <row r="50">
      <c r="A50" s="5" t="n"/>
      <c r="B50" s="5" t="n"/>
      <c r="C50" s="5" t="n"/>
      <c r="D50" s="6" t="n"/>
      <c r="E50" s="7" t="n"/>
      <c r="F50" s="7" t="n"/>
      <c r="G50" s="8">
        <f>IF(E50="","",E50-N(F50))</f>
        <v/>
      </c>
      <c r="H50" s="6" t="n"/>
      <c r="I50" s="9">
        <f>IF(OR(E50="",H50="",G50&lt;=0),"",MAX(0,TODAY()-H50))</f>
        <v/>
      </c>
      <c r="J50" s="9">
        <f>IF(E50="","",IF(G50&lt;=0,"Remboursé",IF(AND(H50&lt;&gt;"",TODAY()&gt;H50),"En retard",IF(N(F50)&gt;0,"Partiel","En cours"))))</f>
        <v/>
      </c>
      <c r="K50" s="5" t="n"/>
    </row>
    <row r="51">
      <c r="A51" s="5" t="n"/>
      <c r="B51" s="5" t="n"/>
      <c r="C51" s="5" t="n"/>
      <c r="D51" s="6" t="n"/>
      <c r="E51" s="7" t="n"/>
      <c r="F51" s="7" t="n"/>
      <c r="G51" s="8">
        <f>IF(E51="","",E51-N(F51))</f>
        <v/>
      </c>
      <c r="H51" s="6" t="n"/>
      <c r="I51" s="9">
        <f>IF(OR(E51="",H51="",G51&lt;=0),"",MAX(0,TODAY()-H51))</f>
        <v/>
      </c>
      <c r="J51" s="9">
        <f>IF(E51="","",IF(G51&lt;=0,"Remboursé",IF(AND(H51&lt;&gt;"",TODAY()&gt;H51),"En retard",IF(N(F51)&gt;0,"Partiel","En cours"))))</f>
        <v/>
      </c>
      <c r="K51" s="5" t="n"/>
    </row>
    <row r="52">
      <c r="A52" s="5" t="n"/>
      <c r="B52" s="5" t="n"/>
      <c r="C52" s="5" t="n"/>
      <c r="D52" s="6" t="n"/>
      <c r="E52" s="7" t="n"/>
      <c r="F52" s="7" t="n"/>
      <c r="G52" s="8">
        <f>IF(E52="","",E52-N(F52))</f>
        <v/>
      </c>
      <c r="H52" s="6" t="n"/>
      <c r="I52" s="9">
        <f>IF(OR(E52="",H52="",G52&lt;=0),"",MAX(0,TODAY()-H52))</f>
        <v/>
      </c>
      <c r="J52" s="9">
        <f>IF(E52="","",IF(G52&lt;=0,"Remboursé",IF(AND(H52&lt;&gt;"",TODAY()&gt;H52),"En retard",IF(N(F52)&gt;0,"Partiel","En cours"))))</f>
        <v/>
      </c>
      <c r="K52" s="5" t="n"/>
    </row>
    <row r="53">
      <c r="A53" s="5" t="n"/>
      <c r="B53" s="5" t="n"/>
      <c r="C53" s="5" t="n"/>
      <c r="D53" s="6" t="n"/>
      <c r="E53" s="7" t="n"/>
      <c r="F53" s="7" t="n"/>
      <c r="G53" s="8">
        <f>IF(E53="","",E53-N(F53))</f>
        <v/>
      </c>
      <c r="H53" s="6" t="n"/>
      <c r="I53" s="9">
        <f>IF(OR(E53="",H53="",G53&lt;=0),"",MAX(0,TODAY()-H53))</f>
        <v/>
      </c>
      <c r="J53" s="9">
        <f>IF(E53="","",IF(G53&lt;=0,"Remboursé",IF(AND(H53&lt;&gt;"",TODAY()&gt;H53),"En retard",IF(N(F53)&gt;0,"Partiel","En cours"))))</f>
        <v/>
      </c>
      <c r="K53" s="5" t="n"/>
    </row>
    <row r="54">
      <c r="A54" s="5" t="n"/>
      <c r="B54" s="5" t="n"/>
      <c r="C54" s="5" t="n"/>
      <c r="D54" s="6" t="n"/>
      <c r="E54" s="7" t="n"/>
      <c r="F54" s="7" t="n"/>
      <c r="G54" s="8">
        <f>IF(E54="","",E54-N(F54))</f>
        <v/>
      </c>
      <c r="H54" s="6" t="n"/>
      <c r="I54" s="9">
        <f>IF(OR(E54="",H54="",G54&lt;=0),"",MAX(0,TODAY()-H54))</f>
        <v/>
      </c>
      <c r="J54" s="9">
        <f>IF(E54="","",IF(G54&lt;=0,"Remboursé",IF(AND(H54&lt;&gt;"",TODAY()&gt;H54),"En retard",IF(N(F54)&gt;0,"Partiel","En cours"))))</f>
        <v/>
      </c>
      <c r="K54" s="5" t="n"/>
    </row>
    <row r="55">
      <c r="A55" s="5" t="n"/>
      <c r="B55" s="5" t="n"/>
      <c r="C55" s="5" t="n"/>
      <c r="D55" s="6" t="n"/>
      <c r="E55" s="7" t="n"/>
      <c r="F55" s="7" t="n"/>
      <c r="G55" s="8">
        <f>IF(E55="","",E55-N(F55))</f>
        <v/>
      </c>
      <c r="H55" s="6" t="n"/>
      <c r="I55" s="9">
        <f>IF(OR(E55="",H55="",G55&lt;=0),"",MAX(0,TODAY()-H55))</f>
        <v/>
      </c>
      <c r="J55" s="9">
        <f>IF(E55="","",IF(G55&lt;=0,"Remboursé",IF(AND(H55&lt;&gt;"",TODAY()&gt;H55),"En retard",IF(N(F55)&gt;0,"Partiel","En cours"))))</f>
        <v/>
      </c>
      <c r="K55" s="5" t="n"/>
    </row>
    <row r="56">
      <c r="A56" s="5" t="n"/>
      <c r="B56" s="5" t="n"/>
      <c r="C56" s="5" t="n"/>
      <c r="D56" s="6" t="n"/>
      <c r="E56" s="7" t="n"/>
      <c r="F56" s="7" t="n"/>
      <c r="G56" s="8">
        <f>IF(E56="","",E56-N(F56))</f>
        <v/>
      </c>
      <c r="H56" s="6" t="n"/>
      <c r="I56" s="9">
        <f>IF(OR(E56="",H56="",G56&lt;=0),"",MAX(0,TODAY()-H56))</f>
        <v/>
      </c>
      <c r="J56" s="9">
        <f>IF(E56="","",IF(G56&lt;=0,"Remboursé",IF(AND(H56&lt;&gt;"",TODAY()&gt;H56),"En retard",IF(N(F56)&gt;0,"Partiel","En cours"))))</f>
        <v/>
      </c>
      <c r="K56" s="5" t="n"/>
    </row>
    <row r="57">
      <c r="A57" s="5" t="n"/>
      <c r="B57" s="5" t="n"/>
      <c r="C57" s="5" t="n"/>
      <c r="D57" s="6" t="n"/>
      <c r="E57" s="7" t="n"/>
      <c r="F57" s="7" t="n"/>
      <c r="G57" s="8">
        <f>IF(E57="","",E57-N(F57))</f>
        <v/>
      </c>
      <c r="H57" s="6" t="n"/>
      <c r="I57" s="9">
        <f>IF(OR(E57="",H57="",G57&lt;=0),"",MAX(0,TODAY()-H57))</f>
        <v/>
      </c>
      <c r="J57" s="9">
        <f>IF(E57="","",IF(G57&lt;=0,"Remboursé",IF(AND(H57&lt;&gt;"",TODAY()&gt;H57),"En retard",IF(N(F57)&gt;0,"Partiel","En cours"))))</f>
        <v/>
      </c>
      <c r="K57" s="5" t="n"/>
    </row>
    <row r="58">
      <c r="A58" s="5" t="n"/>
      <c r="B58" s="5" t="n"/>
      <c r="C58" s="5" t="n"/>
      <c r="D58" s="6" t="n"/>
      <c r="E58" s="7" t="n"/>
      <c r="F58" s="7" t="n"/>
      <c r="G58" s="8">
        <f>IF(E58="","",E58-N(F58))</f>
        <v/>
      </c>
      <c r="H58" s="6" t="n"/>
      <c r="I58" s="9">
        <f>IF(OR(E58="",H58="",G58&lt;=0),"",MAX(0,TODAY()-H58))</f>
        <v/>
      </c>
      <c r="J58" s="9">
        <f>IF(E58="","",IF(G58&lt;=0,"Remboursé",IF(AND(H58&lt;&gt;"",TODAY()&gt;H58),"En retard",IF(N(F58)&gt;0,"Partiel","En cours"))))</f>
        <v/>
      </c>
      <c r="K58" s="5" t="n"/>
    </row>
    <row r="59">
      <c r="A59" s="5" t="n"/>
      <c r="B59" s="5" t="n"/>
      <c r="C59" s="5" t="n"/>
      <c r="D59" s="6" t="n"/>
      <c r="E59" s="7" t="n"/>
      <c r="F59" s="7" t="n"/>
      <c r="G59" s="8">
        <f>IF(E59="","",E59-N(F59))</f>
        <v/>
      </c>
      <c r="H59" s="6" t="n"/>
      <c r="I59" s="9">
        <f>IF(OR(E59="",H59="",G59&lt;=0),"",MAX(0,TODAY()-H59))</f>
        <v/>
      </c>
      <c r="J59" s="9">
        <f>IF(E59="","",IF(G59&lt;=0,"Remboursé",IF(AND(H59&lt;&gt;"",TODAY()&gt;H59),"En retard",IF(N(F59)&gt;0,"Partiel","En cours"))))</f>
        <v/>
      </c>
      <c r="K59" s="5" t="n"/>
    </row>
    <row r="60">
      <c r="A60" s="5" t="n"/>
      <c r="B60" s="5" t="n"/>
      <c r="C60" s="5" t="n"/>
      <c r="D60" s="6" t="n"/>
      <c r="E60" s="7" t="n"/>
      <c r="F60" s="7" t="n"/>
      <c r="G60" s="8">
        <f>IF(E60="","",E60-N(F60))</f>
        <v/>
      </c>
      <c r="H60" s="6" t="n"/>
      <c r="I60" s="9">
        <f>IF(OR(E60="",H60="",G60&lt;=0),"",MAX(0,TODAY()-H60))</f>
        <v/>
      </c>
      <c r="J60" s="9">
        <f>IF(E60="","",IF(G60&lt;=0,"Remboursé",IF(AND(H60&lt;&gt;"",TODAY()&gt;H60),"En retard",IF(N(F60)&gt;0,"Partiel","En cours"))))</f>
        <v/>
      </c>
      <c r="K60" s="5" t="n"/>
    </row>
    <row r="61">
      <c r="A61" s="5" t="n"/>
      <c r="B61" s="5" t="n"/>
      <c r="C61" s="5" t="n"/>
      <c r="D61" s="6" t="n"/>
      <c r="E61" s="7" t="n"/>
      <c r="F61" s="7" t="n"/>
      <c r="G61" s="8">
        <f>IF(E61="","",E61-N(F61))</f>
        <v/>
      </c>
      <c r="H61" s="6" t="n"/>
      <c r="I61" s="9">
        <f>IF(OR(E61="",H61="",G61&lt;=0),"",MAX(0,TODAY()-H61))</f>
        <v/>
      </c>
      <c r="J61" s="9">
        <f>IF(E61="","",IF(G61&lt;=0,"Remboursé",IF(AND(H61&lt;&gt;"",TODAY()&gt;H61),"En retard",IF(N(F61)&gt;0,"Partiel","En cours"))))</f>
        <v/>
      </c>
      <c r="K61" s="5" t="n"/>
    </row>
    <row r="62">
      <c r="A62" s="5" t="n"/>
      <c r="B62" s="5" t="n"/>
      <c r="C62" s="5" t="n"/>
      <c r="D62" s="6" t="n"/>
      <c r="E62" s="7" t="n"/>
      <c r="F62" s="7" t="n"/>
      <c r="G62" s="8">
        <f>IF(E62="","",E62-N(F62))</f>
        <v/>
      </c>
      <c r="H62" s="6" t="n"/>
      <c r="I62" s="9">
        <f>IF(OR(E62="",H62="",G62&lt;=0),"",MAX(0,TODAY()-H62))</f>
        <v/>
      </c>
      <c r="J62" s="9">
        <f>IF(E62="","",IF(G62&lt;=0,"Remboursé",IF(AND(H62&lt;&gt;"",TODAY()&gt;H62),"En retard",IF(N(F62)&gt;0,"Partiel","En cours"))))</f>
        <v/>
      </c>
      <c r="K62" s="5" t="n"/>
    </row>
    <row r="63">
      <c r="A63" s="5" t="n"/>
      <c r="B63" s="5" t="n"/>
      <c r="C63" s="5" t="n"/>
      <c r="D63" s="6" t="n"/>
      <c r="E63" s="7" t="n"/>
      <c r="F63" s="7" t="n"/>
      <c r="G63" s="8">
        <f>IF(E63="","",E63-N(F63))</f>
        <v/>
      </c>
      <c r="H63" s="6" t="n"/>
      <c r="I63" s="9">
        <f>IF(OR(E63="",H63="",G63&lt;=0),"",MAX(0,TODAY()-H63))</f>
        <v/>
      </c>
      <c r="J63" s="9">
        <f>IF(E63="","",IF(G63&lt;=0,"Remboursé",IF(AND(H63&lt;&gt;"",TODAY()&gt;H63),"En retard",IF(N(F63)&gt;0,"Partiel","En cours"))))</f>
        <v/>
      </c>
      <c r="K63" s="5" t="n"/>
    </row>
    <row r="64">
      <c r="A64" s="5" t="n"/>
      <c r="B64" s="5" t="n"/>
      <c r="C64" s="5" t="n"/>
      <c r="D64" s="6" t="n"/>
      <c r="E64" s="7" t="n"/>
      <c r="F64" s="7" t="n"/>
      <c r="G64" s="8">
        <f>IF(E64="","",E64-N(F64))</f>
        <v/>
      </c>
      <c r="H64" s="6" t="n"/>
      <c r="I64" s="9">
        <f>IF(OR(E64="",H64="",G64&lt;=0),"",MAX(0,TODAY()-H64))</f>
        <v/>
      </c>
      <c r="J64" s="9">
        <f>IF(E64="","",IF(G64&lt;=0,"Remboursé",IF(AND(H64&lt;&gt;"",TODAY()&gt;H64),"En retard",IF(N(F64)&gt;0,"Partiel","En cours"))))</f>
        <v/>
      </c>
      <c r="K64" s="5" t="n"/>
    </row>
    <row r="65">
      <c r="A65" s="5" t="n"/>
      <c r="B65" s="5" t="n"/>
      <c r="C65" s="5" t="n"/>
      <c r="D65" s="6" t="n"/>
      <c r="E65" s="7" t="n"/>
      <c r="F65" s="7" t="n"/>
      <c r="G65" s="8">
        <f>IF(E65="","",E65-N(F65))</f>
        <v/>
      </c>
      <c r="H65" s="6" t="n"/>
      <c r="I65" s="9">
        <f>IF(OR(E65="",H65="",G65&lt;=0),"",MAX(0,TODAY()-H65))</f>
        <v/>
      </c>
      <c r="J65" s="9">
        <f>IF(E65="","",IF(G65&lt;=0,"Remboursé",IF(AND(H65&lt;&gt;"",TODAY()&gt;H65),"En retard",IF(N(F65)&gt;0,"Partiel","En cours"))))</f>
        <v/>
      </c>
      <c r="K65" s="5" t="n"/>
    </row>
    <row r="66">
      <c r="A66" s="5" t="n"/>
      <c r="B66" s="5" t="n"/>
      <c r="C66" s="5" t="n"/>
      <c r="D66" s="6" t="n"/>
      <c r="E66" s="7" t="n"/>
      <c r="F66" s="7" t="n"/>
      <c r="G66" s="8">
        <f>IF(E66="","",E66-N(F66))</f>
        <v/>
      </c>
      <c r="H66" s="6" t="n"/>
      <c r="I66" s="9">
        <f>IF(OR(E66="",H66="",G66&lt;=0),"",MAX(0,TODAY()-H66))</f>
        <v/>
      </c>
      <c r="J66" s="9">
        <f>IF(E66="","",IF(G66&lt;=0,"Remboursé",IF(AND(H66&lt;&gt;"",TODAY()&gt;H66),"En retard",IF(N(F66)&gt;0,"Partiel","En cours"))))</f>
        <v/>
      </c>
      <c r="K66" s="5" t="n"/>
    </row>
    <row r="67">
      <c r="A67" s="5" t="n"/>
      <c r="B67" s="5" t="n"/>
      <c r="C67" s="5" t="n"/>
      <c r="D67" s="6" t="n"/>
      <c r="E67" s="7" t="n"/>
      <c r="F67" s="7" t="n"/>
      <c r="G67" s="8">
        <f>IF(E67="","",E67-N(F67))</f>
        <v/>
      </c>
      <c r="H67" s="6" t="n"/>
      <c r="I67" s="9">
        <f>IF(OR(E67="",H67="",G67&lt;=0),"",MAX(0,TODAY()-H67))</f>
        <v/>
      </c>
      <c r="J67" s="9">
        <f>IF(E67="","",IF(G67&lt;=0,"Remboursé",IF(AND(H67&lt;&gt;"",TODAY()&gt;H67),"En retard",IF(N(F67)&gt;0,"Partiel","En cours"))))</f>
        <v/>
      </c>
      <c r="K67" s="5" t="n"/>
    </row>
    <row r="68">
      <c r="A68" s="5" t="n"/>
      <c r="B68" s="5" t="n"/>
      <c r="C68" s="5" t="n"/>
      <c r="D68" s="6" t="n"/>
      <c r="E68" s="7" t="n"/>
      <c r="F68" s="7" t="n"/>
      <c r="G68" s="8">
        <f>IF(E68="","",E68-N(F68))</f>
        <v/>
      </c>
      <c r="H68" s="6" t="n"/>
      <c r="I68" s="9">
        <f>IF(OR(E68="",H68="",G68&lt;=0),"",MAX(0,TODAY()-H68))</f>
        <v/>
      </c>
      <c r="J68" s="9">
        <f>IF(E68="","",IF(G68&lt;=0,"Remboursé",IF(AND(H68&lt;&gt;"",TODAY()&gt;H68),"En retard",IF(N(F68)&gt;0,"Partiel","En cours"))))</f>
        <v/>
      </c>
      <c r="K68" s="5" t="n"/>
    </row>
    <row r="69">
      <c r="A69" s="5" t="n"/>
      <c r="B69" s="5" t="n"/>
      <c r="C69" s="5" t="n"/>
      <c r="D69" s="6" t="n"/>
      <c r="E69" s="7" t="n"/>
      <c r="F69" s="7" t="n"/>
      <c r="G69" s="8">
        <f>IF(E69="","",E69-N(F69))</f>
        <v/>
      </c>
      <c r="H69" s="6" t="n"/>
      <c r="I69" s="9">
        <f>IF(OR(E69="",H69="",G69&lt;=0),"",MAX(0,TODAY()-H69))</f>
        <v/>
      </c>
      <c r="J69" s="9">
        <f>IF(E69="","",IF(G69&lt;=0,"Remboursé",IF(AND(H69&lt;&gt;"",TODAY()&gt;H69),"En retard",IF(N(F69)&gt;0,"Partiel","En cours"))))</f>
        <v/>
      </c>
      <c r="K69" s="5" t="n"/>
    </row>
    <row r="70">
      <c r="A70" s="5" t="n"/>
      <c r="B70" s="5" t="n"/>
      <c r="C70" s="5" t="n"/>
      <c r="D70" s="6" t="n"/>
      <c r="E70" s="7" t="n"/>
      <c r="F70" s="7" t="n"/>
      <c r="G70" s="8">
        <f>IF(E70="","",E70-N(F70))</f>
        <v/>
      </c>
      <c r="H70" s="6" t="n"/>
      <c r="I70" s="9">
        <f>IF(OR(E70="",H70="",G70&lt;=0),"",MAX(0,TODAY()-H70))</f>
        <v/>
      </c>
      <c r="J70" s="9">
        <f>IF(E70="","",IF(G70&lt;=0,"Remboursé",IF(AND(H70&lt;&gt;"",TODAY()&gt;H70),"En retard",IF(N(F70)&gt;0,"Partiel","En cours"))))</f>
        <v/>
      </c>
      <c r="K70" s="5" t="n"/>
    </row>
    <row r="71">
      <c r="A71" s="5" t="n"/>
      <c r="B71" s="5" t="n"/>
      <c r="C71" s="5" t="n"/>
      <c r="D71" s="6" t="n"/>
      <c r="E71" s="7" t="n"/>
      <c r="F71" s="7" t="n"/>
      <c r="G71" s="8">
        <f>IF(E71="","",E71-N(F71))</f>
        <v/>
      </c>
      <c r="H71" s="6" t="n"/>
      <c r="I71" s="9">
        <f>IF(OR(E71="",H71="",G71&lt;=0),"",MAX(0,TODAY()-H71))</f>
        <v/>
      </c>
      <c r="J71" s="9">
        <f>IF(E71="","",IF(G71&lt;=0,"Remboursé",IF(AND(H71&lt;&gt;"",TODAY()&gt;H71),"En retard",IF(N(F71)&gt;0,"Partiel","En cours"))))</f>
        <v/>
      </c>
      <c r="K71" s="5" t="n"/>
    </row>
    <row r="72">
      <c r="A72" s="5" t="n"/>
      <c r="B72" s="5" t="n"/>
      <c r="C72" s="5" t="n"/>
      <c r="D72" s="6" t="n"/>
      <c r="E72" s="7" t="n"/>
      <c r="F72" s="7" t="n"/>
      <c r="G72" s="8">
        <f>IF(E72="","",E72-N(F72))</f>
        <v/>
      </c>
      <c r="H72" s="6" t="n"/>
      <c r="I72" s="9">
        <f>IF(OR(E72="",H72="",G72&lt;=0),"",MAX(0,TODAY()-H72))</f>
        <v/>
      </c>
      <c r="J72" s="9">
        <f>IF(E72="","",IF(G72&lt;=0,"Remboursé",IF(AND(H72&lt;&gt;"",TODAY()&gt;H72),"En retard",IF(N(F72)&gt;0,"Partiel","En cours"))))</f>
        <v/>
      </c>
      <c r="K72" s="5" t="n"/>
    </row>
    <row r="73">
      <c r="A73" s="5" t="n"/>
      <c r="B73" s="5" t="n"/>
      <c r="C73" s="5" t="n"/>
      <c r="D73" s="6" t="n"/>
      <c r="E73" s="7" t="n"/>
      <c r="F73" s="7" t="n"/>
      <c r="G73" s="8">
        <f>IF(E73="","",E73-N(F73))</f>
        <v/>
      </c>
      <c r="H73" s="6" t="n"/>
      <c r="I73" s="9">
        <f>IF(OR(E73="",H73="",G73&lt;=0),"",MAX(0,TODAY()-H73))</f>
        <v/>
      </c>
      <c r="J73" s="9">
        <f>IF(E73="","",IF(G73&lt;=0,"Remboursé",IF(AND(H73&lt;&gt;"",TODAY()&gt;H73),"En retard",IF(N(F73)&gt;0,"Partiel","En cours"))))</f>
        <v/>
      </c>
      <c r="K73" s="5" t="n"/>
    </row>
    <row r="74">
      <c r="A74" s="5" t="n"/>
      <c r="B74" s="5" t="n"/>
      <c r="C74" s="5" t="n"/>
      <c r="D74" s="6" t="n"/>
      <c r="E74" s="7" t="n"/>
      <c r="F74" s="7" t="n"/>
      <c r="G74" s="8">
        <f>IF(E74="","",E74-N(F74))</f>
        <v/>
      </c>
      <c r="H74" s="6" t="n"/>
      <c r="I74" s="9">
        <f>IF(OR(E74="",H74="",G74&lt;=0),"",MAX(0,TODAY()-H74))</f>
        <v/>
      </c>
      <c r="J74" s="9">
        <f>IF(E74="","",IF(G74&lt;=0,"Remboursé",IF(AND(H74&lt;&gt;"",TODAY()&gt;H74),"En retard",IF(N(F74)&gt;0,"Partiel","En cours"))))</f>
        <v/>
      </c>
      <c r="K74" s="5" t="n"/>
    </row>
    <row r="75">
      <c r="A75" s="5" t="n"/>
      <c r="B75" s="5" t="n"/>
      <c r="C75" s="5" t="n"/>
      <c r="D75" s="6" t="n"/>
      <c r="E75" s="7" t="n"/>
      <c r="F75" s="7" t="n"/>
      <c r="G75" s="8">
        <f>IF(E75="","",E75-N(F75))</f>
        <v/>
      </c>
      <c r="H75" s="6" t="n"/>
      <c r="I75" s="9">
        <f>IF(OR(E75="",H75="",G75&lt;=0),"",MAX(0,TODAY()-H75))</f>
        <v/>
      </c>
      <c r="J75" s="9">
        <f>IF(E75="","",IF(G75&lt;=0,"Remboursé",IF(AND(H75&lt;&gt;"",TODAY()&gt;H75),"En retard",IF(N(F75)&gt;0,"Partiel","En cours"))))</f>
        <v/>
      </c>
      <c r="K75" s="5" t="n"/>
    </row>
    <row r="76">
      <c r="A76" s="5" t="n"/>
      <c r="B76" s="5" t="n"/>
      <c r="C76" s="5" t="n"/>
      <c r="D76" s="6" t="n"/>
      <c r="E76" s="7" t="n"/>
      <c r="F76" s="7" t="n"/>
      <c r="G76" s="8">
        <f>IF(E76="","",E76-N(F76))</f>
        <v/>
      </c>
      <c r="H76" s="6" t="n"/>
      <c r="I76" s="9">
        <f>IF(OR(E76="",H76="",G76&lt;=0),"",MAX(0,TODAY()-H76))</f>
        <v/>
      </c>
      <c r="J76" s="9">
        <f>IF(E76="","",IF(G76&lt;=0,"Remboursé",IF(AND(H76&lt;&gt;"",TODAY()&gt;H76),"En retard",IF(N(F76)&gt;0,"Partiel","En cours"))))</f>
        <v/>
      </c>
      <c r="K76" s="5" t="n"/>
    </row>
    <row r="77">
      <c r="A77" s="5" t="n"/>
      <c r="B77" s="5" t="n"/>
      <c r="C77" s="5" t="n"/>
      <c r="D77" s="6" t="n"/>
      <c r="E77" s="7" t="n"/>
      <c r="F77" s="7" t="n"/>
      <c r="G77" s="8">
        <f>IF(E77="","",E77-N(F77))</f>
        <v/>
      </c>
      <c r="H77" s="6" t="n"/>
      <c r="I77" s="9">
        <f>IF(OR(E77="",H77="",G77&lt;=0),"",MAX(0,TODAY()-H77))</f>
        <v/>
      </c>
      <c r="J77" s="9">
        <f>IF(E77="","",IF(G77&lt;=0,"Remboursé",IF(AND(H77&lt;&gt;"",TODAY()&gt;H77),"En retard",IF(N(F77)&gt;0,"Partiel","En cours"))))</f>
        <v/>
      </c>
      <c r="K77" s="5" t="n"/>
    </row>
    <row r="78">
      <c r="A78" s="5" t="n"/>
      <c r="B78" s="5" t="n"/>
      <c r="C78" s="5" t="n"/>
      <c r="D78" s="6" t="n"/>
      <c r="E78" s="7" t="n"/>
      <c r="F78" s="7" t="n"/>
      <c r="G78" s="8">
        <f>IF(E78="","",E78-N(F78))</f>
        <v/>
      </c>
      <c r="H78" s="6" t="n"/>
      <c r="I78" s="9">
        <f>IF(OR(E78="",H78="",G78&lt;=0),"",MAX(0,TODAY()-H78))</f>
        <v/>
      </c>
      <c r="J78" s="9">
        <f>IF(E78="","",IF(G78&lt;=0,"Remboursé",IF(AND(H78&lt;&gt;"",TODAY()&gt;H78),"En retard",IF(N(F78)&gt;0,"Partiel","En cours"))))</f>
        <v/>
      </c>
      <c r="K78" s="5" t="n"/>
    </row>
    <row r="79">
      <c r="A79" s="5" t="n"/>
      <c r="B79" s="5" t="n"/>
      <c r="C79" s="5" t="n"/>
      <c r="D79" s="6" t="n"/>
      <c r="E79" s="7" t="n"/>
      <c r="F79" s="7" t="n"/>
      <c r="G79" s="8">
        <f>IF(E79="","",E79-N(F79))</f>
        <v/>
      </c>
      <c r="H79" s="6" t="n"/>
      <c r="I79" s="9">
        <f>IF(OR(E79="",H79="",G79&lt;=0),"",MAX(0,TODAY()-H79))</f>
        <v/>
      </c>
      <c r="J79" s="9">
        <f>IF(E79="","",IF(G79&lt;=0,"Remboursé",IF(AND(H79&lt;&gt;"",TODAY()&gt;H79),"En retard",IF(N(F79)&gt;0,"Partiel","En cours"))))</f>
        <v/>
      </c>
      <c r="K79" s="5" t="n"/>
    </row>
    <row r="80">
      <c r="A80" s="5" t="n"/>
      <c r="B80" s="5" t="n"/>
      <c r="C80" s="5" t="n"/>
      <c r="D80" s="6" t="n"/>
      <c r="E80" s="7" t="n"/>
      <c r="F80" s="7" t="n"/>
      <c r="G80" s="8">
        <f>IF(E80="","",E80-N(F80))</f>
        <v/>
      </c>
      <c r="H80" s="6" t="n"/>
      <c r="I80" s="9">
        <f>IF(OR(E80="",H80="",G80&lt;=0),"",MAX(0,TODAY()-H80))</f>
        <v/>
      </c>
      <c r="J80" s="9">
        <f>IF(E80="","",IF(G80&lt;=0,"Remboursé",IF(AND(H80&lt;&gt;"",TODAY()&gt;H80),"En retard",IF(N(F80)&gt;0,"Partiel","En cours"))))</f>
        <v/>
      </c>
      <c r="K80" s="5" t="n"/>
    </row>
    <row r="81">
      <c r="A81" s="5" t="n"/>
      <c r="B81" s="5" t="n"/>
      <c r="C81" s="5" t="n"/>
      <c r="D81" s="6" t="n"/>
      <c r="E81" s="7" t="n"/>
      <c r="F81" s="7" t="n"/>
      <c r="G81" s="8">
        <f>IF(E81="","",E81-N(F81))</f>
        <v/>
      </c>
      <c r="H81" s="6" t="n"/>
      <c r="I81" s="9">
        <f>IF(OR(E81="",H81="",G81&lt;=0),"",MAX(0,TODAY()-H81))</f>
        <v/>
      </c>
      <c r="J81" s="9">
        <f>IF(E81="","",IF(G81&lt;=0,"Remboursé",IF(AND(H81&lt;&gt;"",TODAY()&gt;H81),"En retard",IF(N(F81)&gt;0,"Partiel","En cours"))))</f>
        <v/>
      </c>
      <c r="K81" s="5" t="n"/>
    </row>
    <row r="82">
      <c r="A82" s="5" t="n"/>
      <c r="B82" s="5" t="n"/>
      <c r="C82" s="5" t="n"/>
      <c r="D82" s="6" t="n"/>
      <c r="E82" s="7" t="n"/>
      <c r="F82" s="7" t="n"/>
      <c r="G82" s="8">
        <f>IF(E82="","",E82-N(F82))</f>
        <v/>
      </c>
      <c r="H82" s="6" t="n"/>
      <c r="I82" s="9">
        <f>IF(OR(E82="",H82="",G82&lt;=0),"",MAX(0,TODAY()-H82))</f>
        <v/>
      </c>
      <c r="J82" s="9">
        <f>IF(E82="","",IF(G82&lt;=0,"Remboursé",IF(AND(H82&lt;&gt;"",TODAY()&gt;H82),"En retard",IF(N(F82)&gt;0,"Partiel","En cours"))))</f>
        <v/>
      </c>
      <c r="K82" s="5" t="n"/>
    </row>
    <row r="83">
      <c r="A83" s="5" t="n"/>
      <c r="B83" s="5" t="n"/>
      <c r="C83" s="5" t="n"/>
      <c r="D83" s="6" t="n"/>
      <c r="E83" s="7" t="n"/>
      <c r="F83" s="7" t="n"/>
      <c r="G83" s="8">
        <f>IF(E83="","",E83-N(F83))</f>
        <v/>
      </c>
      <c r="H83" s="6" t="n"/>
      <c r="I83" s="9">
        <f>IF(OR(E83="",H83="",G83&lt;=0),"",MAX(0,TODAY()-H83))</f>
        <v/>
      </c>
      <c r="J83" s="9">
        <f>IF(E83="","",IF(G83&lt;=0,"Remboursé",IF(AND(H83&lt;&gt;"",TODAY()&gt;H83),"En retard",IF(N(F83)&gt;0,"Partiel","En cours"))))</f>
        <v/>
      </c>
      <c r="K83" s="5" t="n"/>
    </row>
    <row r="84">
      <c r="A84" s="5" t="n"/>
      <c r="B84" s="5" t="n"/>
      <c r="C84" s="5" t="n"/>
      <c r="D84" s="6" t="n"/>
      <c r="E84" s="7" t="n"/>
      <c r="F84" s="7" t="n"/>
      <c r="G84" s="8">
        <f>IF(E84="","",E84-N(F84))</f>
        <v/>
      </c>
      <c r="H84" s="6" t="n"/>
      <c r="I84" s="9">
        <f>IF(OR(E84="",H84="",G84&lt;=0),"",MAX(0,TODAY()-H84))</f>
        <v/>
      </c>
      <c r="J84" s="9">
        <f>IF(E84="","",IF(G84&lt;=0,"Remboursé",IF(AND(H84&lt;&gt;"",TODAY()&gt;H84),"En retard",IF(N(F84)&gt;0,"Partiel","En cours"))))</f>
        <v/>
      </c>
      <c r="K84" s="5" t="n"/>
    </row>
    <row r="85">
      <c r="A85" s="5" t="n"/>
      <c r="B85" s="5" t="n"/>
      <c r="C85" s="5" t="n"/>
      <c r="D85" s="6" t="n"/>
      <c r="E85" s="7" t="n"/>
      <c r="F85" s="7" t="n"/>
      <c r="G85" s="8">
        <f>IF(E85="","",E85-N(F85))</f>
        <v/>
      </c>
      <c r="H85" s="6" t="n"/>
      <c r="I85" s="9">
        <f>IF(OR(E85="",H85="",G85&lt;=0),"",MAX(0,TODAY()-H85))</f>
        <v/>
      </c>
      <c r="J85" s="9">
        <f>IF(E85="","",IF(G85&lt;=0,"Remboursé",IF(AND(H85&lt;&gt;"",TODAY()&gt;H85),"En retard",IF(N(F85)&gt;0,"Partiel","En cours"))))</f>
        <v/>
      </c>
      <c r="K85" s="5" t="n"/>
    </row>
    <row r="86">
      <c r="A86" s="5" t="n"/>
      <c r="B86" s="5" t="n"/>
      <c r="C86" s="5" t="n"/>
      <c r="D86" s="6" t="n"/>
      <c r="E86" s="7" t="n"/>
      <c r="F86" s="7" t="n"/>
      <c r="G86" s="8">
        <f>IF(E86="","",E86-N(F86))</f>
        <v/>
      </c>
      <c r="H86" s="6" t="n"/>
      <c r="I86" s="9">
        <f>IF(OR(E86="",H86="",G86&lt;=0),"",MAX(0,TODAY()-H86))</f>
        <v/>
      </c>
      <c r="J86" s="9">
        <f>IF(E86="","",IF(G86&lt;=0,"Remboursé",IF(AND(H86&lt;&gt;"",TODAY()&gt;H86),"En retard",IF(N(F86)&gt;0,"Partiel","En cours"))))</f>
        <v/>
      </c>
      <c r="K86" s="5" t="n"/>
    </row>
    <row r="87">
      <c r="A87" s="5" t="n"/>
      <c r="B87" s="5" t="n"/>
      <c r="C87" s="5" t="n"/>
      <c r="D87" s="6" t="n"/>
      <c r="E87" s="7" t="n"/>
      <c r="F87" s="7" t="n"/>
      <c r="G87" s="8">
        <f>IF(E87="","",E87-N(F87))</f>
        <v/>
      </c>
      <c r="H87" s="6" t="n"/>
      <c r="I87" s="9">
        <f>IF(OR(E87="",H87="",G87&lt;=0),"",MAX(0,TODAY()-H87))</f>
        <v/>
      </c>
      <c r="J87" s="9">
        <f>IF(E87="","",IF(G87&lt;=0,"Remboursé",IF(AND(H87&lt;&gt;"",TODAY()&gt;H87),"En retard",IF(N(F87)&gt;0,"Partiel","En cours"))))</f>
        <v/>
      </c>
      <c r="K87" s="5" t="n"/>
    </row>
    <row r="88">
      <c r="A88" s="5" t="n"/>
      <c r="B88" s="5" t="n"/>
      <c r="C88" s="5" t="n"/>
      <c r="D88" s="6" t="n"/>
      <c r="E88" s="7" t="n"/>
      <c r="F88" s="7" t="n"/>
      <c r="G88" s="8">
        <f>IF(E88="","",E88-N(F88))</f>
        <v/>
      </c>
      <c r="H88" s="6" t="n"/>
      <c r="I88" s="9">
        <f>IF(OR(E88="",H88="",G88&lt;=0),"",MAX(0,TODAY()-H88))</f>
        <v/>
      </c>
      <c r="J88" s="9">
        <f>IF(E88="","",IF(G88&lt;=0,"Remboursé",IF(AND(H88&lt;&gt;"",TODAY()&gt;H88),"En retard",IF(N(F88)&gt;0,"Partiel","En cours"))))</f>
        <v/>
      </c>
      <c r="K88" s="5" t="n"/>
    </row>
    <row r="89">
      <c r="A89" s="5" t="n"/>
      <c r="B89" s="5" t="n"/>
      <c r="C89" s="5" t="n"/>
      <c r="D89" s="6" t="n"/>
      <c r="E89" s="7" t="n"/>
      <c r="F89" s="7" t="n"/>
      <c r="G89" s="8">
        <f>IF(E89="","",E89-N(F89))</f>
        <v/>
      </c>
      <c r="H89" s="6" t="n"/>
      <c r="I89" s="9">
        <f>IF(OR(E89="",H89="",G89&lt;=0),"",MAX(0,TODAY()-H89))</f>
        <v/>
      </c>
      <c r="J89" s="9">
        <f>IF(E89="","",IF(G89&lt;=0,"Remboursé",IF(AND(H89&lt;&gt;"",TODAY()&gt;H89),"En retard",IF(N(F89)&gt;0,"Partiel","En cours"))))</f>
        <v/>
      </c>
      <c r="K89" s="5" t="n"/>
    </row>
    <row r="90">
      <c r="A90" s="5" t="n"/>
      <c r="B90" s="5" t="n"/>
      <c r="C90" s="5" t="n"/>
      <c r="D90" s="6" t="n"/>
      <c r="E90" s="7" t="n"/>
      <c r="F90" s="7" t="n"/>
      <c r="G90" s="8">
        <f>IF(E90="","",E90-N(F90))</f>
        <v/>
      </c>
      <c r="H90" s="6" t="n"/>
      <c r="I90" s="9">
        <f>IF(OR(E90="",H90="",G90&lt;=0),"",MAX(0,TODAY()-H90))</f>
        <v/>
      </c>
      <c r="J90" s="9">
        <f>IF(E90="","",IF(G90&lt;=0,"Remboursé",IF(AND(H90&lt;&gt;"",TODAY()&gt;H90),"En retard",IF(N(F90)&gt;0,"Partiel","En cours"))))</f>
        <v/>
      </c>
      <c r="K90" s="5" t="n"/>
    </row>
    <row r="91">
      <c r="A91" s="5" t="n"/>
      <c r="B91" s="5" t="n"/>
      <c r="C91" s="5" t="n"/>
      <c r="D91" s="6" t="n"/>
      <c r="E91" s="7" t="n"/>
      <c r="F91" s="7" t="n"/>
      <c r="G91" s="8">
        <f>IF(E91="","",E91-N(F91))</f>
        <v/>
      </c>
      <c r="H91" s="6" t="n"/>
      <c r="I91" s="9">
        <f>IF(OR(E91="",H91="",G91&lt;=0),"",MAX(0,TODAY()-H91))</f>
        <v/>
      </c>
      <c r="J91" s="9">
        <f>IF(E91="","",IF(G91&lt;=0,"Remboursé",IF(AND(H91&lt;&gt;"",TODAY()&gt;H91),"En retard",IF(N(F91)&gt;0,"Partiel","En cours"))))</f>
        <v/>
      </c>
      <c r="K91" s="5" t="n"/>
    </row>
    <row r="92">
      <c r="A92" s="5" t="n"/>
      <c r="B92" s="5" t="n"/>
      <c r="C92" s="5" t="n"/>
      <c r="D92" s="6" t="n"/>
      <c r="E92" s="7" t="n"/>
      <c r="F92" s="7" t="n"/>
      <c r="G92" s="8">
        <f>IF(E92="","",E92-N(F92))</f>
        <v/>
      </c>
      <c r="H92" s="6" t="n"/>
      <c r="I92" s="9">
        <f>IF(OR(E92="",H92="",G92&lt;=0),"",MAX(0,TODAY()-H92))</f>
        <v/>
      </c>
      <c r="J92" s="9">
        <f>IF(E92="","",IF(G92&lt;=0,"Remboursé",IF(AND(H92&lt;&gt;"",TODAY()&gt;H92),"En retard",IF(N(F92)&gt;0,"Partiel","En cours"))))</f>
        <v/>
      </c>
      <c r="K92" s="5" t="n"/>
    </row>
    <row r="93">
      <c r="A93" s="5" t="n"/>
      <c r="B93" s="5" t="n"/>
      <c r="C93" s="5" t="n"/>
      <c r="D93" s="6" t="n"/>
      <c r="E93" s="7" t="n"/>
      <c r="F93" s="7" t="n"/>
      <c r="G93" s="8">
        <f>IF(E93="","",E93-N(F93))</f>
        <v/>
      </c>
      <c r="H93" s="6" t="n"/>
      <c r="I93" s="9">
        <f>IF(OR(E93="",H93="",G93&lt;=0),"",MAX(0,TODAY()-H93))</f>
        <v/>
      </c>
      <c r="J93" s="9">
        <f>IF(E93="","",IF(G93&lt;=0,"Remboursé",IF(AND(H93&lt;&gt;"",TODAY()&gt;H93),"En retard",IF(N(F93)&gt;0,"Partiel","En cours"))))</f>
        <v/>
      </c>
      <c r="K93" s="5" t="n"/>
    </row>
    <row r="94">
      <c r="A94" s="5" t="n"/>
      <c r="B94" s="5" t="n"/>
      <c r="C94" s="5" t="n"/>
      <c r="D94" s="6" t="n"/>
      <c r="E94" s="7" t="n"/>
      <c r="F94" s="7" t="n"/>
      <c r="G94" s="8">
        <f>IF(E94="","",E94-N(F94))</f>
        <v/>
      </c>
      <c r="H94" s="6" t="n"/>
      <c r="I94" s="9">
        <f>IF(OR(E94="",H94="",G94&lt;=0),"",MAX(0,TODAY()-H94))</f>
        <v/>
      </c>
      <c r="J94" s="9">
        <f>IF(E94="","",IF(G94&lt;=0,"Remboursé",IF(AND(H94&lt;&gt;"",TODAY()&gt;H94),"En retard",IF(N(F94)&gt;0,"Partiel","En cours"))))</f>
        <v/>
      </c>
      <c r="K94" s="5" t="n"/>
    </row>
    <row r="95">
      <c r="A95" s="5" t="n"/>
      <c r="B95" s="5" t="n"/>
      <c r="C95" s="5" t="n"/>
      <c r="D95" s="6" t="n"/>
      <c r="E95" s="7" t="n"/>
      <c r="F95" s="7" t="n"/>
      <c r="G95" s="8">
        <f>IF(E95="","",E95-N(F95))</f>
        <v/>
      </c>
      <c r="H95" s="6" t="n"/>
      <c r="I95" s="9">
        <f>IF(OR(E95="",H95="",G95&lt;=0),"",MAX(0,TODAY()-H95))</f>
        <v/>
      </c>
      <c r="J95" s="9">
        <f>IF(E95="","",IF(G95&lt;=0,"Remboursé",IF(AND(H95&lt;&gt;"",TODAY()&gt;H95),"En retard",IF(N(F95)&gt;0,"Partiel","En cours"))))</f>
        <v/>
      </c>
      <c r="K95" s="5" t="n"/>
    </row>
    <row r="96">
      <c r="A96" s="5" t="n"/>
      <c r="B96" s="5" t="n"/>
      <c r="C96" s="5" t="n"/>
      <c r="D96" s="6" t="n"/>
      <c r="E96" s="7" t="n"/>
      <c r="F96" s="7" t="n"/>
      <c r="G96" s="8">
        <f>IF(E96="","",E96-N(F96))</f>
        <v/>
      </c>
      <c r="H96" s="6" t="n"/>
      <c r="I96" s="9">
        <f>IF(OR(E96="",H96="",G96&lt;=0),"",MAX(0,TODAY()-H96))</f>
        <v/>
      </c>
      <c r="J96" s="9">
        <f>IF(E96="","",IF(G96&lt;=0,"Remboursé",IF(AND(H96&lt;&gt;"",TODAY()&gt;H96),"En retard",IF(N(F96)&gt;0,"Partiel","En cours"))))</f>
        <v/>
      </c>
      <c r="K96" s="5" t="n"/>
    </row>
    <row r="97">
      <c r="A97" s="5" t="n"/>
      <c r="B97" s="5" t="n"/>
      <c r="C97" s="5" t="n"/>
      <c r="D97" s="6" t="n"/>
      <c r="E97" s="7" t="n"/>
      <c r="F97" s="7" t="n"/>
      <c r="G97" s="8">
        <f>IF(E97="","",E97-N(F97))</f>
        <v/>
      </c>
      <c r="H97" s="6" t="n"/>
      <c r="I97" s="9">
        <f>IF(OR(E97="",H97="",G97&lt;=0),"",MAX(0,TODAY()-H97))</f>
        <v/>
      </c>
      <c r="J97" s="9">
        <f>IF(E97="","",IF(G97&lt;=0,"Remboursé",IF(AND(H97&lt;&gt;"",TODAY()&gt;H97),"En retard",IF(N(F97)&gt;0,"Partiel","En cours"))))</f>
        <v/>
      </c>
      <c r="K97" s="5" t="n"/>
    </row>
    <row r="98">
      <c r="A98" s="5" t="n"/>
      <c r="B98" s="5" t="n"/>
      <c r="C98" s="5" t="n"/>
      <c r="D98" s="6" t="n"/>
      <c r="E98" s="7" t="n"/>
      <c r="F98" s="7" t="n"/>
      <c r="G98" s="8">
        <f>IF(E98="","",E98-N(F98))</f>
        <v/>
      </c>
      <c r="H98" s="6" t="n"/>
      <c r="I98" s="9">
        <f>IF(OR(E98="",H98="",G98&lt;=0),"",MAX(0,TODAY()-H98))</f>
        <v/>
      </c>
      <c r="J98" s="9">
        <f>IF(E98="","",IF(G98&lt;=0,"Remboursé",IF(AND(H98&lt;&gt;"",TODAY()&gt;H98),"En retard",IF(N(F98)&gt;0,"Partiel","En cours"))))</f>
        <v/>
      </c>
      <c r="K98" s="5" t="n"/>
    </row>
    <row r="99">
      <c r="A99" s="5" t="n"/>
      <c r="B99" s="5" t="n"/>
      <c r="C99" s="5" t="n"/>
      <c r="D99" s="6" t="n"/>
      <c r="E99" s="7" t="n"/>
      <c r="F99" s="7" t="n"/>
      <c r="G99" s="8">
        <f>IF(E99="","",E99-N(F99))</f>
        <v/>
      </c>
      <c r="H99" s="6" t="n"/>
      <c r="I99" s="9">
        <f>IF(OR(E99="",H99="",G99&lt;=0),"",MAX(0,TODAY()-H99))</f>
        <v/>
      </c>
      <c r="J99" s="9">
        <f>IF(E99="","",IF(G99&lt;=0,"Remboursé",IF(AND(H99&lt;&gt;"",TODAY()&gt;H99),"En retard",IF(N(F99)&gt;0,"Partiel","En cours"))))</f>
        <v/>
      </c>
      <c r="K99" s="5" t="n"/>
    </row>
    <row r="100">
      <c r="A100" s="5" t="n"/>
      <c r="B100" s="5" t="n"/>
      <c r="C100" s="5" t="n"/>
      <c r="D100" s="6" t="n"/>
      <c r="E100" s="7" t="n"/>
      <c r="F100" s="7" t="n"/>
      <c r="G100" s="8">
        <f>IF(E100="","",E100-N(F100))</f>
        <v/>
      </c>
      <c r="H100" s="6" t="n"/>
      <c r="I100" s="9">
        <f>IF(OR(E100="",H100="",G100&lt;=0),"",MAX(0,TODAY()-H100))</f>
        <v/>
      </c>
      <c r="J100" s="9">
        <f>IF(E100="","",IF(G100&lt;=0,"Remboursé",IF(AND(H100&lt;&gt;"",TODAY()&gt;H100),"En retard",IF(N(F100)&gt;0,"Partiel","En cours"))))</f>
        <v/>
      </c>
      <c r="K100" s="5" t="n"/>
    </row>
    <row r="101">
      <c r="A101" s="5" t="n"/>
      <c r="B101" s="5" t="n"/>
      <c r="C101" s="5" t="n"/>
      <c r="D101" s="6" t="n"/>
      <c r="E101" s="7" t="n"/>
      <c r="F101" s="7" t="n"/>
      <c r="G101" s="8">
        <f>IF(E101="","",E101-N(F101))</f>
        <v/>
      </c>
      <c r="H101" s="6" t="n"/>
      <c r="I101" s="9">
        <f>IF(OR(E101="",H101="",G101&lt;=0),"",MAX(0,TODAY()-H101))</f>
        <v/>
      </c>
      <c r="J101" s="9">
        <f>IF(E101="","",IF(G101&lt;=0,"Remboursé",IF(AND(H101&lt;&gt;"",TODAY()&gt;H101),"En retard",IF(N(F101)&gt;0,"Partiel","En cours"))))</f>
        <v/>
      </c>
      <c r="K101" s="5" t="n"/>
    </row>
    <row r="102">
      <c r="A102" s="5" t="n"/>
      <c r="B102" s="5" t="n"/>
      <c r="C102" s="5" t="n"/>
      <c r="D102" s="6" t="n"/>
      <c r="E102" s="7" t="n"/>
      <c r="F102" s="7" t="n"/>
      <c r="G102" s="8">
        <f>IF(E102="","",E102-N(F102))</f>
        <v/>
      </c>
      <c r="H102" s="6" t="n"/>
      <c r="I102" s="9">
        <f>IF(OR(E102="",H102="",G102&lt;=0),"",MAX(0,TODAY()-H102))</f>
        <v/>
      </c>
      <c r="J102" s="9">
        <f>IF(E102="","",IF(G102&lt;=0,"Remboursé",IF(AND(H102&lt;&gt;"",TODAY()&gt;H102),"En retard",IF(N(F102)&gt;0,"Partiel","En cours"))))</f>
        <v/>
      </c>
      <c r="K102" s="5" t="n"/>
    </row>
    <row r="103">
      <c r="A103" s="5" t="n"/>
      <c r="B103" s="5" t="n"/>
      <c r="C103" s="5" t="n"/>
      <c r="D103" s="6" t="n"/>
      <c r="E103" s="7" t="n"/>
      <c r="F103" s="7" t="n"/>
      <c r="G103" s="8">
        <f>IF(E103="","",E103-N(F103))</f>
        <v/>
      </c>
      <c r="H103" s="6" t="n"/>
      <c r="I103" s="9">
        <f>IF(OR(E103="",H103="",G103&lt;=0),"",MAX(0,TODAY()-H103))</f>
        <v/>
      </c>
      <c r="J103" s="9">
        <f>IF(E103="","",IF(G103&lt;=0,"Remboursé",IF(AND(H103&lt;&gt;"",TODAY()&gt;H103),"En retard",IF(N(F103)&gt;0,"Partiel","En cours"))))</f>
        <v/>
      </c>
      <c r="K103" s="5" t="n"/>
    </row>
    <row r="104">
      <c r="A104" s="5" t="n"/>
      <c r="B104" s="5" t="n"/>
      <c r="C104" s="5" t="n"/>
      <c r="D104" s="6" t="n"/>
      <c r="E104" s="7" t="n"/>
      <c r="F104" s="7" t="n"/>
      <c r="G104" s="8">
        <f>IF(E104="","",E104-N(F104))</f>
        <v/>
      </c>
      <c r="H104" s="6" t="n"/>
      <c r="I104" s="9">
        <f>IF(OR(E104="",H104="",G104&lt;=0),"",MAX(0,TODAY()-H104))</f>
        <v/>
      </c>
      <c r="J104" s="9">
        <f>IF(E104="","",IF(G104&lt;=0,"Remboursé",IF(AND(H104&lt;&gt;"",TODAY()&gt;H104),"En retard",IF(N(F104)&gt;0,"Partiel","En cours"))))</f>
        <v/>
      </c>
      <c r="K104" s="5" t="n"/>
    </row>
  </sheetData>
  <autoFilter ref="A4:K104"/>
  <mergeCells count="1">
    <mergeCell ref="A2:K2"/>
  </mergeCells>
  <conditionalFormatting sqref="A5:K104">
    <cfRule type="expression" priority="1" dxfId="0">
      <formula>$J5="En retard"</formula>
    </cfRule>
    <cfRule type="expression" priority="2" dxfId="1">
      <formula>$J5="Remboursé"</formula>
    </cfRule>
  </conditionalFormatting>
  <dataValidations count="2">
    <dataValidation sqref="E5:F104" showDropDown="0" showInputMessage="0" showErrorMessage="1" allowBlank="0" error="Entrez un montant positif." type="decimal" operator="greaterThanOrEqual">
      <formula1>0</formula1>
    </dataValidation>
    <dataValidation sqref="D5:D104 H5:H104" showDropDown="0" showInputMessage="0" showErrorMessage="1" allowBlank="0" error="Entrez une date (JJ/MM/AAAA)." type="date" operator="greaterThan">
      <formula1>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Résumé</t>
        </is>
      </c>
    </row>
    <row r="3">
      <c r="A3" s="10" t="inlineStr">
        <is>
          <t>Total prêté</t>
        </is>
      </c>
      <c r="B3" s="11">
        <f>SUM('Débiteurs'!E5:E104)</f>
        <v/>
      </c>
    </row>
    <row r="4">
      <c r="A4" s="10" t="inlineStr">
        <is>
          <t>Total déjà remboursé</t>
        </is>
      </c>
      <c r="B4" s="11">
        <f>SUM('Débiteurs'!F5:F104)</f>
        <v/>
      </c>
    </row>
    <row r="5">
      <c r="A5" s="10" t="inlineStr">
        <is>
          <t>Total restant dû</t>
        </is>
      </c>
      <c r="B5" s="11">
        <f>SUMIF('Débiteurs'!G5:G104,"&gt;0")</f>
        <v/>
      </c>
    </row>
    <row r="6">
      <c r="A6" s="10" t="inlineStr">
        <is>
          <t>Dont en retard</t>
        </is>
      </c>
      <c r="B6" s="12">
        <f>SUMIF('Débiteurs'!J5:J104,"En retard",'Débiteurs'!G5:G104)</f>
        <v/>
      </c>
    </row>
    <row r="7">
      <c r="A7" s="10" t="inlineStr">
        <is>
          <t>Taux de remboursement</t>
        </is>
      </c>
      <c r="B7" s="13">
        <f>IF(B3=0,0,B4/B3)</f>
        <v/>
      </c>
    </row>
    <row r="9">
      <c r="A9" s="10" t="inlineStr">
        <is>
          <t>Nombre de dettes en cours</t>
        </is>
      </c>
      <c r="B9" s="14">
        <f>COUNTIF('Débiteurs'!J5:J104,"En cours")+COUNTIF('Débiteurs'!J5:J104,"Partiel")</f>
        <v/>
      </c>
    </row>
    <row r="10">
      <c r="A10" s="10" t="inlineStr">
        <is>
          <t>Nombre de dettes en retard</t>
        </is>
      </c>
      <c r="B10" s="14">
        <f>COUNTIF('Débiteurs'!J5:J104,"En retard")</f>
        <v/>
      </c>
    </row>
    <row r="11">
      <c r="A11" s="10" t="inlineStr">
        <is>
          <t>Nombre de dettes remboursées</t>
        </is>
      </c>
      <c r="B11" s="14">
        <f>COUNTIF('Débiteurs'!J5:J104,"Remboursé")</f>
        <v/>
      </c>
    </row>
    <row r="12">
      <c r="A12" s="10" t="inlineStr">
        <is>
          <t>Plus gros montant restant dû</t>
        </is>
      </c>
      <c r="B12" s="11">
        <f>MAX(0,MAX('Débiteurs'!G5:G104))</f>
        <v/>
      </c>
    </row>
    <row r="13">
      <c r="A13" s="10" t="inlineStr">
        <is>
          <t>… dû par</t>
        </is>
      </c>
      <c r="B13" s="15">
        <f>IF(B12&lt;=0,"-",INDEX('Débiteurs'!A5:A104,MATCH(B12,'Débiteurs'!G5:G104,0)))</f>
        <v/>
      </c>
    </row>
    <row r="15">
      <c r="A15" s="2" t="inlineStr">
        <is>
          <t>Tout est calculé automatiquement à partir de l'onglet « Débiteurs 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2026-09-29T04:26:57Z</dcterms:created>
  <dcterms:modified xsi:type="dcterms:W3CDTF">2026-09-29T04:26:58Z</dcterms:modified>
</cp:coreProperties>
</file>